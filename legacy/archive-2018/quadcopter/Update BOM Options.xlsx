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ony\Documents\CAD\Quadcopter\"/>
    </mc:Choice>
  </mc:AlternateContent>
  <bookViews>
    <workbookView xWindow="0" yWindow="2250" windowWidth="14370" windowHeight="10710" firstSheet="2" activeTab="2"/>
  </bookViews>
  <sheets>
    <sheet name="Motors" sheetId="3" r:id="rId1"/>
    <sheet name="BOM Calculator" sheetId="4" r:id="rId2"/>
    <sheet name="Final BOM" sheetId="5" r:id="rId3"/>
    <sheet name="Scorecard" sheetId="1" r:id="rId4"/>
    <sheet name="Summary of Scores" sheetId="2" r:id="rId5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6" i="1" l="1"/>
  <c r="D6" i="2"/>
  <c r="I19" i="5"/>
  <c r="G19" i="5"/>
  <c r="G21" i="5"/>
  <c r="I18" i="5"/>
  <c r="I20" i="5"/>
  <c r="E21" i="5"/>
  <c r="E15" i="5"/>
  <c r="G3" i="5"/>
  <c r="G4" i="5"/>
  <c r="G5" i="5"/>
  <c r="G6" i="5"/>
  <c r="G9" i="5"/>
  <c r="G14" i="5"/>
  <c r="G15" i="5"/>
  <c r="I15" i="5"/>
  <c r="I3" i="5"/>
  <c r="I4" i="5"/>
  <c r="I5" i="5"/>
  <c r="I6" i="5"/>
  <c r="I7" i="5"/>
  <c r="I8" i="5"/>
  <c r="I9" i="5"/>
  <c r="G23" i="5"/>
  <c r="I21" i="5"/>
  <c r="I24" i="5"/>
  <c r="I23" i="5"/>
  <c r="G20" i="5"/>
  <c r="G18" i="5"/>
  <c r="G7" i="5"/>
  <c r="G8" i="5"/>
  <c r="G12" i="5"/>
  <c r="G13" i="5"/>
  <c r="G24" i="5"/>
  <c r="I14" i="5"/>
  <c r="I13" i="5"/>
  <c r="I12" i="5"/>
  <c r="E9" i="5"/>
  <c r="G25" i="5"/>
  <c r="H1" i="5"/>
  <c r="G10" i="4"/>
  <c r="G9" i="4"/>
  <c r="G8" i="4"/>
  <c r="O2" i="1"/>
  <c r="O4" i="1"/>
  <c r="O5" i="1"/>
  <c r="O3" i="1"/>
  <c r="N2" i="1"/>
  <c r="N4" i="1"/>
  <c r="N5" i="1"/>
  <c r="N3" i="1"/>
  <c r="M2" i="1"/>
  <c r="M4" i="1"/>
  <c r="M5" i="1"/>
  <c r="M3" i="1"/>
  <c r="G3" i="4"/>
  <c r="G4" i="4"/>
  <c r="G5" i="4"/>
  <c r="G6" i="4"/>
  <c r="G7" i="4"/>
  <c r="G11" i="4"/>
  <c r="G39" i="4"/>
  <c r="G40" i="4"/>
  <c r="G41" i="4"/>
  <c r="G42" i="4"/>
  <c r="G43" i="4"/>
  <c r="G44" i="4"/>
  <c r="I3" i="4"/>
  <c r="I4" i="4"/>
  <c r="I5" i="4"/>
  <c r="I6" i="4"/>
  <c r="I7" i="4"/>
  <c r="I8" i="4"/>
  <c r="I9" i="4"/>
  <c r="I10" i="4"/>
  <c r="I11" i="4"/>
  <c r="I39" i="4"/>
  <c r="I40" i="4"/>
  <c r="I41" i="4"/>
  <c r="I42" i="4"/>
  <c r="I43" i="4"/>
  <c r="G31" i="4"/>
  <c r="G32" i="4"/>
  <c r="G33" i="4"/>
  <c r="G34" i="4"/>
  <c r="G35" i="4"/>
  <c r="G36" i="4"/>
  <c r="I31" i="4"/>
  <c r="I32" i="4"/>
  <c r="I33" i="4"/>
  <c r="I34" i="4"/>
  <c r="I35" i="4"/>
  <c r="G23" i="4"/>
  <c r="G24" i="4"/>
  <c r="G25" i="4"/>
  <c r="G26" i="4"/>
  <c r="G27" i="4"/>
  <c r="G28" i="4"/>
  <c r="I23" i="4"/>
  <c r="I24" i="4"/>
  <c r="I25" i="4"/>
  <c r="I26" i="4"/>
  <c r="I27" i="4"/>
  <c r="G15" i="4"/>
  <c r="G16" i="4"/>
  <c r="G17" i="4"/>
  <c r="G18" i="4"/>
  <c r="G19" i="4"/>
  <c r="G20" i="4"/>
  <c r="I15" i="4"/>
  <c r="I16" i="4"/>
  <c r="I17" i="4"/>
  <c r="I18" i="4"/>
  <c r="I19" i="4"/>
  <c r="E11" i="4"/>
  <c r="H1" i="4"/>
  <c r="P6" i="3"/>
</calcChain>
</file>

<file path=xl/comments1.xml><?xml version="1.0" encoding="utf-8"?>
<comments xmlns="http://schemas.openxmlformats.org/spreadsheetml/2006/main">
  <authors>
    <author>Tony</author>
  </authors>
  <commentList>
    <comment ref="H7" authorId="0" shapeId="0">
      <text>
        <r>
          <rPr>
            <b/>
            <sz val="9"/>
            <color indexed="81"/>
            <rFont val="Tahoma"/>
            <family val="2"/>
          </rPr>
          <t>Tony:</t>
        </r>
        <r>
          <rPr>
            <sz val="9"/>
            <color indexed="81"/>
            <rFont val="Tahoma"/>
            <family val="2"/>
          </rPr>
          <t xml:space="preserve">
$309</t>
        </r>
      </text>
    </comment>
    <comment ref="H8" authorId="0" shapeId="0">
      <text>
        <r>
          <rPr>
            <b/>
            <sz val="9"/>
            <color indexed="81"/>
            <rFont val="Tahoma"/>
            <family val="2"/>
          </rPr>
          <t>Tony:</t>
        </r>
        <r>
          <rPr>
            <sz val="9"/>
            <color indexed="81"/>
            <rFont val="Tahoma"/>
            <family val="2"/>
          </rPr>
          <t xml:space="preserve">
$399</t>
        </r>
      </text>
    </comment>
  </commentList>
</comments>
</file>

<file path=xl/comments2.xml><?xml version="1.0" encoding="utf-8"?>
<comments xmlns="http://schemas.openxmlformats.org/spreadsheetml/2006/main">
  <authors>
    <author>Tony</author>
  </authors>
  <commentList>
    <comment ref="H18" authorId="0" shapeId="0">
      <text>
        <r>
          <rPr>
            <b/>
            <sz val="9"/>
            <color indexed="81"/>
            <rFont val="Tahoma"/>
            <family val="2"/>
          </rPr>
          <t>Tony:</t>
        </r>
        <r>
          <rPr>
            <sz val="9"/>
            <color indexed="81"/>
            <rFont val="Tahoma"/>
            <family val="2"/>
          </rPr>
          <t xml:space="preserve">
$309</t>
        </r>
      </text>
    </comment>
    <comment ref="H20" authorId="0" shapeId="0">
      <text>
        <r>
          <rPr>
            <b/>
            <sz val="9"/>
            <color indexed="81"/>
            <rFont val="Tahoma"/>
            <family val="2"/>
          </rPr>
          <t>Tony:</t>
        </r>
        <r>
          <rPr>
            <sz val="9"/>
            <color indexed="81"/>
            <rFont val="Tahoma"/>
            <family val="2"/>
          </rPr>
          <t xml:space="preserve">
$399</t>
        </r>
      </text>
    </comment>
  </commentList>
</comments>
</file>

<file path=xl/sharedStrings.xml><?xml version="1.0" encoding="utf-8"?>
<sst xmlns="http://schemas.openxmlformats.org/spreadsheetml/2006/main" count="310" uniqueCount="126">
  <si>
    <t>Elective BOM Option</t>
  </si>
  <si>
    <t>Motor Model</t>
  </si>
  <si>
    <t>Hover Flight Time (minutes)</t>
  </si>
  <si>
    <t>Hover Score</t>
  </si>
  <si>
    <t>Weight (grams)</t>
  </si>
  <si>
    <t>Weight Score</t>
  </si>
  <si>
    <t>Additional Payload (grams)</t>
  </si>
  <si>
    <t>Additional Payload Score</t>
  </si>
  <si>
    <t>Throttle at Hover (%)</t>
  </si>
  <si>
    <t>Throttle At Hover Score</t>
  </si>
  <si>
    <t>Total Score (higher is better)</t>
  </si>
  <si>
    <t>Weighted Total Score Option 1</t>
  </si>
  <si>
    <t>Weighted Total Score Option 2</t>
  </si>
  <si>
    <t>ecalc Link</t>
  </si>
  <si>
    <t>Link</t>
  </si>
  <si>
    <t>3525-650</t>
  </si>
  <si>
    <t>1798</t>
  </si>
  <si>
    <t>4225-610</t>
  </si>
  <si>
    <t>1910</t>
  </si>
  <si>
    <t>3525-850</t>
  </si>
  <si>
    <t>1664</t>
  </si>
  <si>
    <t>3530-1150</t>
  </si>
  <si>
    <t>1756</t>
  </si>
  <si>
    <t>Rank Worst to Best</t>
  </si>
  <si>
    <t>No Weight</t>
  </si>
  <si>
    <t>Weight Option 1</t>
  </si>
  <si>
    <t>Weight Option 2</t>
  </si>
  <si>
    <t>Option</t>
  </si>
  <si>
    <t>Brand</t>
  </si>
  <si>
    <t>Line</t>
  </si>
  <si>
    <t>Model</t>
  </si>
  <si>
    <t>Lipo Cells</t>
  </si>
  <si>
    <t>KV (rpm/v)</t>
  </si>
  <si>
    <t>No Load Current (Amps)</t>
  </si>
  <si>
    <t>Max Watts</t>
  </si>
  <si>
    <t>Operating Current (Amps)</t>
  </si>
  <si>
    <t>Max Current (Amps)</t>
  </si>
  <si>
    <t>Internal Resistance (ohm)</t>
  </si>
  <si>
    <t>Number of Poles</t>
  </si>
  <si>
    <t>Shaft Size (mm)</t>
  </si>
  <si>
    <t>Diameter (mm)</t>
  </si>
  <si>
    <t>Case Length (mm)</t>
  </si>
  <si>
    <t>Mass (grams)</t>
  </si>
  <si>
    <t>Recommended ESC (Amp Rating)</t>
  </si>
  <si>
    <t>Price (US$)</t>
  </si>
  <si>
    <t>Turnigy</t>
  </si>
  <si>
    <t>Aerodrive SK3</t>
  </si>
  <si>
    <t>3-4</t>
  </si>
  <si>
    <t>?</t>
  </si>
  <si>
    <t>Multistar</t>
  </si>
  <si>
    <t>4</t>
  </si>
  <si>
    <t>3</t>
  </si>
  <si>
    <t>DETERMINED PARTS</t>
  </si>
  <si>
    <t>ITEM NO.</t>
  </si>
  <si>
    <t>CATEGORY</t>
  </si>
  <si>
    <t>PART NAME</t>
  </si>
  <si>
    <t>PART SPECS</t>
  </si>
  <si>
    <t>QTY.</t>
  </si>
  <si>
    <t>MASS EACH (g)</t>
  </si>
  <si>
    <t>TOTAL MASS (g)</t>
  </si>
  <si>
    <t>PRICE EACH</t>
  </si>
  <si>
    <t>TOTAL PRICE</t>
  </si>
  <si>
    <t>Frame</t>
  </si>
  <si>
    <t>Quadcopter</t>
  </si>
  <si>
    <t>Turnigy Talon Quadcopter V2.0 (without landing feet)</t>
  </si>
  <si>
    <t>Electronics</t>
  </si>
  <si>
    <t>Control Board</t>
  </si>
  <si>
    <t>KK2.0 Multi-rotor LCD Flight Controller</t>
  </si>
  <si>
    <t>Receiver</t>
  </si>
  <si>
    <t>Turnigy 9X 2.4GHz 8Ch Receiver (V2)</t>
  </si>
  <si>
    <t>Hardware</t>
  </si>
  <si>
    <t>Miscellaneous</t>
  </si>
  <si>
    <t>Electrical Tape, Solder, Cable Ties, Etc.</t>
  </si>
  <si>
    <t>Accessories</t>
  </si>
  <si>
    <t>Gimbal</t>
  </si>
  <si>
    <t>Arris CM2000</t>
  </si>
  <si>
    <t>Camera</t>
  </si>
  <si>
    <t>Gopro Hero 3 - Black Edition</t>
  </si>
  <si>
    <t>Landing Gear</t>
  </si>
  <si>
    <t>ATG Carbon Fiber Landing Skid Kit</t>
  </si>
  <si>
    <t>Propellers</t>
  </si>
  <si>
    <t>12x6 Carbon Fiber Propellers</t>
  </si>
  <si>
    <t>TOTALS</t>
  </si>
  <si>
    <t>Determined Parts:</t>
  </si>
  <si>
    <t>Determined Mass:</t>
  </si>
  <si>
    <t>Determined Price:</t>
  </si>
  <si>
    <t>ELECTIVE PARTS</t>
  </si>
  <si>
    <t>Aerodrive SK3-3530-1150</t>
  </si>
  <si>
    <t>PRODUCT NAME</t>
  </si>
  <si>
    <t>Motor</t>
  </si>
  <si>
    <t>ESC</t>
  </si>
  <si>
    <t>Tunigy Plush 25A Speed Controller (35A Burst)</t>
  </si>
  <si>
    <t>Battery</t>
  </si>
  <si>
    <t>Turnigy nano-tech 5000mah 3S1P 45C</t>
  </si>
  <si>
    <t>Elective Mass:</t>
  </si>
  <si>
    <t>Elective Price:</t>
  </si>
  <si>
    <t>Total Mass:</t>
  </si>
  <si>
    <t>Total Price:</t>
  </si>
  <si>
    <t>Total Pounds:</t>
  </si>
  <si>
    <t>Multistar 3525-650</t>
  </si>
  <si>
    <t>Multistar 3525-650 (4 cells)</t>
  </si>
  <si>
    <t>Turnigy nano-tech 5000mah 4S1P 65-130C</t>
  </si>
  <si>
    <t>Multistar 3525-850</t>
  </si>
  <si>
    <t>Multistar 3525-850 (3 cells)</t>
  </si>
  <si>
    <t>Turnigy nano-tech 5000mah 3S1P 65-130C</t>
  </si>
  <si>
    <t>Multistar 4225-610</t>
  </si>
  <si>
    <t>Multistar 4225-610 (4 cells)</t>
  </si>
  <si>
    <t>Recommended Props</t>
  </si>
  <si>
    <t>Prop Score</t>
  </si>
  <si>
    <t>10x4.7 - 11x4.7</t>
  </si>
  <si>
    <t>12x3 - 12x6</t>
  </si>
  <si>
    <t>Aerodrive SK3-3530-1150 (3 cells)</t>
  </si>
  <si>
    <t>8x5 - 11x4.7</t>
  </si>
  <si>
    <t>Q Brain 4x20A Brushless Quadcopter ESC</t>
  </si>
  <si>
    <t>AERIAL PHOTOGRAPHY ACCESSORIES</t>
  </si>
  <si>
    <t>Sans Accessories Mass:</t>
  </si>
  <si>
    <t>Accessories Mass:</t>
  </si>
  <si>
    <t>Accessories Price:</t>
  </si>
  <si>
    <t>Sans Accessories Price:</t>
  </si>
  <si>
    <t>Imperial (lbs):</t>
  </si>
  <si>
    <t>11x4.7 Slow Fly Electric Propellers</t>
  </si>
  <si>
    <t>Elective Parts:</t>
  </si>
  <si>
    <t>Accessories Parts:</t>
  </si>
  <si>
    <t>Turnigy Talon Quadcopter V2.0 (sans landing feet)</t>
  </si>
  <si>
    <t xml:space="preserve">Arris CM2000 Brushless Motor Gimbal V4.0 </t>
  </si>
  <si>
    <t>Turnigy nano-tech 850mah 3S1P 25-40C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</si>
</sst>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(&quot;$&quot;* #,##0.00_);_(&quot;$&quot;* \(#,##0.00\);_(&quot;$&quot;* &quot;-&quot;??_);_(@_)"/>
    <numFmt numFmtId="164" formatCode="0.000"/>
    <numFmt numFmtId="165" formatCode="0.0"/>
    <numFmt numFmtId="166" formatCode="&quot;$&quot;#,##0.00"/>
  </numFmts>
  <fonts count="16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22"/>
      <color theme="1"/>
      <name val="Times New Roman"/>
      <family val="1"/>
    </font>
    <font>
      <b/>
      <sz val="22"/>
      <color theme="0"/>
      <name val="Times New Roman"/>
      <family val="1"/>
    </font>
    <font>
      <b/>
      <sz val="22"/>
      <name val="Times New Roman"/>
      <family val="1"/>
    </font>
    <font>
      <b/>
      <sz val="22"/>
      <color theme="1"/>
      <name val="Gill Sans MT"/>
      <family val="2"/>
    </font>
    <font>
      <sz val="12"/>
      <color theme="1"/>
      <name val="Gill Sans MT"/>
      <family val="2"/>
    </font>
    <font>
      <b/>
      <sz val="22"/>
      <color theme="0"/>
      <name val="Gill Sans MT"/>
      <family val="2"/>
    </font>
    <font>
      <sz val="22"/>
      <color theme="1"/>
      <name val="Gill Sans MT"/>
      <family val="2"/>
    </font>
    <font>
      <sz val="22"/>
      <name val="Gill Sans MT"/>
      <family val="2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4">
    <xf numFmtId="0" fontId="0" fillId="0" borderId="0" xfId="0"/>
    <xf numFmtId="0" fontId="1" fillId="2" borderId="1" xfId="0" applyFont="1" applyFill="1" applyBorder="1" applyAlignment="1">
      <alignment horizontal="center" textRotation="45" readingOrder="1"/>
    </xf>
    <xf numFmtId="0" fontId="1" fillId="2" borderId="2" xfId="0" applyFont="1" applyFill="1" applyBorder="1" applyAlignment="1">
      <alignment horizontal="center" textRotation="45" readingOrder="1"/>
    </xf>
    <xf numFmtId="164" fontId="1" fillId="2" borderId="2" xfId="0" applyNumberFormat="1" applyFont="1" applyFill="1" applyBorder="1" applyAlignment="1">
      <alignment horizontal="center" textRotation="45" readingOrder="1"/>
    </xf>
    <xf numFmtId="164" fontId="1" fillId="2" borderId="1" xfId="0" applyNumberFormat="1" applyFont="1" applyFill="1" applyBorder="1" applyAlignment="1">
      <alignment horizontal="center" textRotation="45" readingOrder="1"/>
    </xf>
    <xf numFmtId="0" fontId="0" fillId="0" borderId="3" xfId="0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0" fillId="3" borderId="3" xfId="0" applyNumberFormat="1" applyFont="1" applyFill="1" applyBorder="1" applyAlignment="1">
      <alignment horizontal="center" vertical="center"/>
    </xf>
    <xf numFmtId="1" fontId="0" fillId="4" borderId="3" xfId="0" applyNumberFormat="1" applyFont="1" applyFill="1" applyBorder="1" applyAlignment="1">
      <alignment horizontal="center" vertical="center" readingOrder="1"/>
    </xf>
    <xf numFmtId="1" fontId="0" fillId="5" borderId="3" xfId="0" applyNumberFormat="1" applyFont="1" applyFill="1" applyBorder="1" applyAlignment="1">
      <alignment horizontal="center" vertical="center" readingOrder="1"/>
    </xf>
    <xf numFmtId="1" fontId="0" fillId="0" borderId="3" xfId="0" applyNumberFormat="1" applyBorder="1"/>
    <xf numFmtId="2" fontId="0" fillId="4" borderId="3" xfId="0" applyNumberFormat="1" applyFont="1" applyFill="1" applyBorder="1" applyAlignment="1">
      <alignment horizontal="center" vertical="center"/>
    </xf>
    <xf numFmtId="1" fontId="0" fillId="4" borderId="3" xfId="0" applyNumberFormat="1" applyFill="1" applyBorder="1" applyAlignment="1">
      <alignment horizontal="center"/>
    </xf>
    <xf numFmtId="1" fontId="0" fillId="5" borderId="3" xfId="0" applyNumberForma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 textRotation="45" readingOrder="1"/>
    </xf>
    <xf numFmtId="1" fontId="1" fillId="2" borderId="2" xfId="0" applyNumberFormat="1" applyFont="1" applyFill="1" applyBorder="1" applyAlignment="1">
      <alignment horizontal="center" textRotation="45" readingOrder="1"/>
    </xf>
    <xf numFmtId="1" fontId="1" fillId="2" borderId="0" xfId="0" applyNumberFormat="1" applyFont="1" applyFill="1" applyBorder="1" applyAlignment="1">
      <alignment horizontal="center" textRotation="45" readingOrder="1"/>
    </xf>
    <xf numFmtId="0" fontId="4" fillId="0" borderId="0" xfId="0" applyFont="1" applyAlignment="1">
      <alignment horizontal="center" textRotation="90"/>
    </xf>
    <xf numFmtId="0" fontId="0" fillId="0" borderId="3" xfId="0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49" fontId="0" fillId="0" borderId="3" xfId="0" applyNumberFormat="1" applyFont="1" applyBorder="1" applyAlignment="1">
      <alignment horizontal="center" vertical="center"/>
    </xf>
    <xf numFmtId="2" fontId="0" fillId="0" borderId="3" xfId="0" applyNumberFormat="1" applyFont="1" applyBorder="1" applyAlignment="1">
      <alignment horizontal="center" vertical="center"/>
    </xf>
    <xf numFmtId="1" fontId="0" fillId="0" borderId="3" xfId="0" applyNumberFormat="1" applyBorder="1" applyAlignment="1">
      <alignment horizontal="center"/>
    </xf>
    <xf numFmtId="1" fontId="0" fillId="0" borderId="3" xfId="0" applyNumberFormat="1" applyFont="1" applyBorder="1" applyAlignment="1">
      <alignment horizontal="center" vertical="center"/>
    </xf>
    <xf numFmtId="44" fontId="0" fillId="0" borderId="3" xfId="0" applyNumberFormat="1" applyFont="1" applyBorder="1" applyAlignment="1">
      <alignment horizontal="center" vertical="center"/>
    </xf>
    <xf numFmtId="0" fontId="3" fillId="0" borderId="0" xfId="1" applyAlignment="1">
      <alignment horizontal="center"/>
    </xf>
    <xf numFmtId="0" fontId="0" fillId="0" borderId="3" xfId="0" applyFont="1" applyBorder="1" applyAlignment="1">
      <alignment horizontal="center" vertical="center" readingOrder="1"/>
    </xf>
    <xf numFmtId="164" fontId="0" fillId="0" borderId="3" xfId="0" applyNumberFormat="1" applyFont="1" applyBorder="1" applyAlignment="1">
      <alignment horizontal="center" vertical="center"/>
    </xf>
    <xf numFmtId="165" fontId="0" fillId="0" borderId="3" xfId="0" applyNumberFormat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22" fontId="0" fillId="0" borderId="0" xfId="0" applyNumberFormat="1" applyFont="1" applyAlignment="1">
      <alignment vertical="center"/>
    </xf>
    <xf numFmtId="0" fontId="0" fillId="0" borderId="0" xfId="0" applyFont="1" applyAlignment="1">
      <alignment vertical="center"/>
    </xf>
    <xf numFmtId="49" fontId="0" fillId="0" borderId="0" xfId="0" applyNumberFormat="1" applyFont="1" applyAlignment="1">
      <alignment vertical="center"/>
    </xf>
    <xf numFmtId="22" fontId="0" fillId="0" borderId="0" xfId="0" applyNumberFormat="1" applyFont="1" applyAlignment="1">
      <alignment horizontal="left" vertical="center" readingOrder="1"/>
    </xf>
    <xf numFmtId="164" fontId="0" fillId="0" borderId="0" xfId="0" applyNumberFormat="1" applyFont="1" applyAlignment="1">
      <alignment vertical="center"/>
    </xf>
    <xf numFmtId="49" fontId="0" fillId="0" borderId="0" xfId="0" applyNumberFormat="1"/>
    <xf numFmtId="0" fontId="0" fillId="0" borderId="0" xfId="0" applyAlignment="1">
      <alignment horizontal="left" readingOrder="1"/>
    </xf>
    <xf numFmtId="164" fontId="0" fillId="0" borderId="0" xfId="0" applyNumberFormat="1"/>
    <xf numFmtId="44" fontId="0" fillId="0" borderId="0" xfId="0" applyNumberFormat="1"/>
    <xf numFmtId="1" fontId="0" fillId="0" borderId="0" xfId="0" applyNumberFormat="1"/>
    <xf numFmtId="0" fontId="5" fillId="0" borderId="0" xfId="0" applyFont="1"/>
    <xf numFmtId="0" fontId="5" fillId="0" borderId="0" xfId="0" applyFont="1" applyAlignment="1">
      <alignment horizontal="center"/>
    </xf>
    <xf numFmtId="1" fontId="0" fillId="6" borderId="3" xfId="0" applyNumberFormat="1" applyFill="1" applyBorder="1" applyAlignment="1">
      <alignment horizontal="center"/>
    </xf>
    <xf numFmtId="1" fontId="0" fillId="6" borderId="3" xfId="0" applyNumberFormat="1" applyFont="1" applyFill="1" applyBorder="1" applyAlignment="1">
      <alignment horizontal="center" vertical="center" readingOrder="1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2" borderId="3" xfId="0" applyFont="1" applyFill="1" applyBorder="1" applyAlignment="1">
      <alignment horizontal="center"/>
    </xf>
    <xf numFmtId="166" fontId="9" fillId="2" borderId="3" xfId="0" applyNumberFormat="1" applyFont="1" applyFill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3" xfId="0" applyFont="1" applyBorder="1"/>
    <xf numFmtId="0" fontId="10" fillId="0" borderId="3" xfId="0" applyFont="1" applyBorder="1" applyAlignment="1">
      <alignment horizontal="center"/>
    </xf>
    <xf numFmtId="166" fontId="10" fillId="0" borderId="3" xfId="0" applyNumberFormat="1" applyFont="1" applyBorder="1"/>
    <xf numFmtId="166" fontId="8" fillId="0" borderId="3" xfId="0" applyNumberFormat="1" applyFont="1" applyBorder="1"/>
    <xf numFmtId="0" fontId="9" fillId="2" borderId="3" xfId="0" applyFont="1" applyFill="1" applyBorder="1" applyAlignment="1">
      <alignment horizontal="right"/>
    </xf>
    <xf numFmtId="166" fontId="9" fillId="2" borderId="3" xfId="0" applyNumberFormat="1" applyFont="1" applyFill="1" applyBorder="1" applyAlignment="1">
      <alignment horizontal="right"/>
    </xf>
    <xf numFmtId="0" fontId="8" fillId="0" borderId="0" xfId="0" applyFont="1" applyBorder="1"/>
    <xf numFmtId="0" fontId="8" fillId="0" borderId="0" xfId="0" applyFont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8" fillId="0" borderId="3" xfId="0" applyFont="1" applyBorder="1" applyAlignment="1">
      <alignment horizontal="left"/>
    </xf>
    <xf numFmtId="0" fontId="9" fillId="7" borderId="0" xfId="0" applyFont="1" applyFill="1" applyBorder="1" applyAlignment="1">
      <alignment horizontal="right"/>
    </xf>
    <xf numFmtId="0" fontId="9" fillId="7" borderId="0" xfId="0" applyFont="1" applyFill="1" applyBorder="1" applyAlignment="1">
      <alignment horizontal="center"/>
    </xf>
    <xf numFmtId="0" fontId="9" fillId="2" borderId="0" xfId="0" applyFont="1" applyFill="1" applyBorder="1" applyAlignment="1">
      <alignment horizontal="right"/>
    </xf>
    <xf numFmtId="0" fontId="9" fillId="2" borderId="0" xfId="0" applyFont="1" applyFill="1" applyBorder="1" applyAlignment="1">
      <alignment horizontal="center"/>
    </xf>
    <xf numFmtId="166" fontId="9" fillId="2" borderId="0" xfId="0" applyNumberFormat="1" applyFont="1" applyFill="1" applyBorder="1" applyAlignment="1">
      <alignment horizontal="right"/>
    </xf>
    <xf numFmtId="166" fontId="9" fillId="2" borderId="0" xfId="0" applyNumberFormat="1" applyFont="1" applyFill="1" applyBorder="1" applyAlignment="1">
      <alignment horizontal="center"/>
    </xf>
    <xf numFmtId="0" fontId="9" fillId="7" borderId="0" xfId="0" applyFont="1" applyFill="1" applyBorder="1"/>
    <xf numFmtId="0" fontId="9" fillId="7" borderId="0" xfId="0" applyFont="1" applyFill="1"/>
    <xf numFmtId="0" fontId="9" fillId="2" borderId="0" xfId="0" applyFont="1" applyFill="1" applyAlignment="1">
      <alignment horizontal="right"/>
    </xf>
    <xf numFmtId="2" fontId="9" fillId="2" borderId="0" xfId="0" applyNumberFormat="1" applyFont="1" applyFill="1" applyAlignment="1">
      <alignment horizontal="center"/>
    </xf>
    <xf numFmtId="0" fontId="9" fillId="2" borderId="0" xfId="0" applyFont="1" applyFill="1"/>
    <xf numFmtId="165" fontId="0" fillId="3" borderId="3" xfId="0" applyNumberFormat="1" applyFont="1" applyFill="1" applyBorder="1" applyAlignment="1">
      <alignment horizontal="center" vertical="center"/>
    </xf>
    <xf numFmtId="1" fontId="0" fillId="8" borderId="3" xfId="0" applyNumberFormat="1" applyFont="1" applyFill="1" applyBorder="1" applyAlignment="1">
      <alignment horizontal="center" vertical="center" readingOrder="1"/>
    </xf>
    <xf numFmtId="1" fontId="0" fillId="8" borderId="3" xfId="0" applyNumberFormat="1" applyFill="1" applyBorder="1" applyAlignment="1">
      <alignment horizontal="center"/>
    </xf>
    <xf numFmtId="22" fontId="0" fillId="0" borderId="4" xfId="0" applyNumberFormat="1" applyFont="1" applyBorder="1" applyAlignment="1">
      <alignment horizontal="right" vertical="center"/>
    </xf>
    <xf numFmtId="44" fontId="0" fillId="0" borderId="4" xfId="0" applyNumberFormat="1" applyFont="1" applyBorder="1" applyAlignment="1">
      <alignment horizontal="right" vertical="center"/>
    </xf>
    <xf numFmtId="22" fontId="8" fillId="0" borderId="5" xfId="0" applyNumberFormat="1" applyFont="1" applyBorder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center"/>
    </xf>
    <xf numFmtId="22" fontId="11" fillId="0" borderId="5" xfId="0" applyNumberFormat="1" applyFont="1" applyBorder="1" applyAlignment="1">
      <alignment horizontal="center"/>
    </xf>
    <xf numFmtId="0" fontId="12" fillId="0" borderId="0" xfId="0" applyFont="1"/>
    <xf numFmtId="0" fontId="13" fillId="2" borderId="3" xfId="0" applyFont="1" applyFill="1" applyBorder="1" applyAlignment="1">
      <alignment horizontal="center"/>
    </xf>
    <xf numFmtId="166" fontId="13" fillId="2" borderId="3" xfId="0" applyNumberFormat="1" applyFont="1" applyFill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" xfId="0" applyFont="1" applyBorder="1"/>
    <xf numFmtId="0" fontId="15" fillId="0" borderId="3" xfId="0" applyFont="1" applyBorder="1" applyAlignment="1">
      <alignment horizontal="center"/>
    </xf>
    <xf numFmtId="166" fontId="15" fillId="0" borderId="3" xfId="0" applyNumberFormat="1" applyFont="1" applyBorder="1"/>
    <xf numFmtId="166" fontId="14" fillId="0" borderId="3" xfId="0" applyNumberFormat="1" applyFont="1" applyBorder="1"/>
    <xf numFmtId="0" fontId="13" fillId="2" borderId="7" xfId="0" applyFont="1" applyFill="1" applyBorder="1" applyAlignment="1">
      <alignment horizontal="right"/>
    </xf>
    <xf numFmtId="0" fontId="13" fillId="2" borderId="7" xfId="0" applyFont="1" applyFill="1" applyBorder="1" applyAlignment="1">
      <alignment horizontal="center"/>
    </xf>
    <xf numFmtId="166" fontId="13" fillId="2" borderId="7" xfId="0" applyNumberFormat="1" applyFont="1" applyFill="1" applyBorder="1" applyAlignment="1">
      <alignment horizontal="right"/>
    </xf>
    <xf numFmtId="166" fontId="13" fillId="2" borderId="7" xfId="0" applyNumberFormat="1" applyFont="1" applyFill="1" applyBorder="1" applyAlignment="1">
      <alignment horizontal="center"/>
    </xf>
    <xf numFmtId="0" fontId="13" fillId="0" borderId="0" xfId="0" applyFont="1" applyFill="1" applyBorder="1" applyAlignment="1">
      <alignment horizontal="right"/>
    </xf>
    <xf numFmtId="0" fontId="13" fillId="0" borderId="0" xfId="0" applyFont="1" applyFill="1" applyBorder="1" applyAlignment="1">
      <alignment horizontal="center"/>
    </xf>
    <xf numFmtId="166" fontId="13" fillId="0" borderId="0" xfId="0" applyNumberFormat="1" applyFont="1" applyFill="1" applyBorder="1" applyAlignment="1">
      <alignment horizontal="right"/>
    </xf>
    <xf numFmtId="166" fontId="13" fillId="0" borderId="0" xfId="0" applyNumberFormat="1" applyFont="1" applyFill="1" applyBorder="1" applyAlignment="1">
      <alignment horizontal="center"/>
    </xf>
    <xf numFmtId="0" fontId="12" fillId="0" borderId="0" xfId="0" applyFont="1" applyFill="1" applyBorder="1"/>
    <xf numFmtId="0" fontId="13" fillId="2" borderId="6" xfId="0" applyFont="1" applyFill="1" applyBorder="1" applyAlignment="1">
      <alignment horizontal="center"/>
    </xf>
    <xf numFmtId="0" fontId="14" fillId="0" borderId="0" xfId="0" applyFont="1"/>
    <xf numFmtId="0" fontId="14" fillId="0" borderId="3" xfId="0" applyFont="1" applyBorder="1" applyAlignment="1">
      <alignment horizontal="left"/>
    </xf>
    <xf numFmtId="0" fontId="13" fillId="2" borderId="3" xfId="0" applyFont="1" applyFill="1" applyBorder="1" applyAlignment="1">
      <alignment horizontal="right"/>
    </xf>
    <xf numFmtId="166" fontId="13" fillId="2" borderId="3" xfId="0" applyNumberFormat="1" applyFont="1" applyFill="1" applyBorder="1" applyAlignment="1">
      <alignment horizontal="right"/>
    </xf>
    <xf numFmtId="0" fontId="13" fillId="2" borderId="0" xfId="0" applyFont="1" applyFill="1" applyBorder="1" applyAlignment="1">
      <alignment horizontal="center"/>
    </xf>
    <xf numFmtId="0" fontId="13" fillId="2" borderId="0" xfId="0" applyFont="1" applyFill="1" applyBorder="1" applyAlignment="1">
      <alignment horizontal="right"/>
    </xf>
    <xf numFmtId="166" fontId="13" fillId="2" borderId="0" xfId="0" applyNumberFormat="1" applyFont="1" applyFill="1" applyBorder="1" applyAlignment="1">
      <alignment horizontal="right"/>
    </xf>
    <xf numFmtId="166" fontId="13" fillId="2" borderId="0" xfId="0" applyNumberFormat="1" applyFont="1" applyFill="1" applyBorder="1" applyAlignment="1">
      <alignment horizontal="center"/>
    </xf>
    <xf numFmtId="0" fontId="13" fillId="7" borderId="0" xfId="0" applyFont="1" applyFill="1" applyBorder="1" applyAlignment="1">
      <alignment horizontal="right"/>
    </xf>
    <xf numFmtId="0" fontId="13" fillId="7" borderId="0" xfId="0" applyFont="1" applyFill="1" applyBorder="1"/>
    <xf numFmtId="0" fontId="13" fillId="7" borderId="0" xfId="0" applyFont="1" applyFill="1"/>
    <xf numFmtId="0" fontId="13" fillId="2" borderId="0" xfId="0" applyFont="1" applyFill="1"/>
    <xf numFmtId="0" fontId="13" fillId="2" borderId="0" xfId="0" applyFont="1" applyFill="1" applyAlignment="1">
      <alignment horizontal="right"/>
    </xf>
    <xf numFmtId="2" fontId="13" fillId="2" borderId="0" xfId="0" applyNumberFormat="1" applyFont="1" applyFill="1" applyAlignment="1">
      <alignment horizontal="center"/>
    </xf>
    <xf numFmtId="0" fontId="3" fillId="0" borderId="3" xfId="1" applyBorder="1"/>
    <xf numFmtId="22" fontId="0" fillId="0" borderId="0" xfId="0" applyNumberFormat="1"/>
    <xf numFmtId="22" fontId="0" fillId="0" borderId="4" xfId="0" applyNumberForma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hobbyking.com/hobbyking/store/__26964__Turnigy_Multistar_4225_610Kv_16Pole_Multi_Rotor_Outrunner.html" TargetMode="External"/><Relationship Id="rId2" Type="http://schemas.openxmlformats.org/officeDocument/2006/relationships/hyperlink" Target="http://www.hobbyking.com/hobbyking/store/__36765__Turnigy_Multistar_3525_650Kv_14Pole_Multi_Rotor_Outrunner.html" TargetMode="External"/><Relationship Id="rId1" Type="http://schemas.openxmlformats.org/officeDocument/2006/relationships/hyperlink" Target="http://www.hobbyking.com/hobbyking/store/__36767__Turnigy_Multistar_3525_850Kv_14Pole_Multi_Rotor_Outrunner.html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://www.hobbyking.com/hobbyking/store/__18160__Turnigy_Aerodrive_SK3_3530_1150kv_Brushless_Outrunner_Motor.html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ecalc.ch/xcoptercalc.htm?ecalc&amp;lang=en&amp;cooling=2.5&amp;rotornumber=4&amp;weight=1664&amp;calc=auw&amp;elevation=500&amp;airtemp=25&amp;qnh=1013&amp;batteries=lipo_5000mah_-_65/100c&amp;chargestate=0&amp;s=3&amp;p=1&amp;esc=max_40a&amp;motor=turnigy&amp;gear=1&amp;propeller=apc_slowfly_sf&amp;diameter=12" TargetMode="External"/><Relationship Id="rId2" Type="http://schemas.openxmlformats.org/officeDocument/2006/relationships/hyperlink" Target="http://www.ecalc.ch/xcoptercalc.htm?ecalc&amp;lang=en&amp;cooling=2.5&amp;rotornumber=4&amp;weight=1798&amp;calc=auw&amp;elevation=500&amp;airtemp=25&amp;qnh=1013&amp;batteries=lipo_5000mah_-_65/100c&amp;chargestate=0&amp;s=4&amp;p=1&amp;esc=max_40a&amp;motor=turnigy&amp;gear=1&amp;propeller=apc_slowfly_sf&amp;diameter=12" TargetMode="External"/><Relationship Id="rId1" Type="http://schemas.openxmlformats.org/officeDocument/2006/relationships/hyperlink" Target="http://www.ecalc.ch/xcoptercalc.htm?ecalc&amp;lang=en&amp;cooling=2.5&amp;rotornumber=4&amp;weight=1756&amp;calc=auw&amp;elevation=500&amp;airtemp=25&amp;qnh=1013&amp;batteries=lipo_5000mah_-_45/60c&amp;chargestate=0&amp;s=3&amp;p=1&amp;esc=max_40a&amp;motor=turnigy&amp;gear=1&amp;propeller=apc_slowfly_sf&amp;diameter=12&amp;" TargetMode="External"/><Relationship Id="rId5" Type="http://schemas.openxmlformats.org/officeDocument/2006/relationships/printerSettings" Target="../printerSettings/printerSettings4.bin"/><Relationship Id="rId4" Type="http://schemas.openxmlformats.org/officeDocument/2006/relationships/hyperlink" Target="http://www.ecalc.ch/xcoptercalc.htm?ecalc&amp;lang=en&amp;cooling=2.5&amp;rotornumber=4&amp;weight=1910&amp;calc=auw&amp;elevation=500&amp;airtemp=25&amp;qnh=1013&amp;esc=max_40a&amp;motor=turnigy&amp;gear=1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6"/>
  <sheetViews>
    <sheetView view="pageLayout" zoomScale="75" zoomScaleNormal="100" zoomScalePageLayoutView="75" workbookViewId="0">
      <selection activeCell="S4" sqref="S4"/>
    </sheetView>
  </sheetViews>
  <sheetFormatPr defaultColWidth="8.875" defaultRowHeight="15.75" x14ac:dyDescent="0.25"/>
  <cols>
    <col min="1" max="1" width="5" bestFit="1" customWidth="1"/>
    <col min="2" max="2" width="7.625" bestFit="1" customWidth="1"/>
    <col min="3" max="3" width="13.5" bestFit="1" customWidth="1"/>
    <col min="4" max="4" width="9.75" bestFit="1" customWidth="1"/>
    <col min="5" max="5" width="5" style="35" bestFit="1" customWidth="1"/>
    <col min="6" max="6" width="5.125" style="36" bestFit="1" customWidth="1"/>
    <col min="7" max="7" width="5" style="37" bestFit="1" customWidth="1"/>
    <col min="8" max="10" width="5" bestFit="1" customWidth="1"/>
    <col min="11" max="11" width="6.125" bestFit="1" customWidth="1"/>
    <col min="12" max="13" width="5" bestFit="1" customWidth="1"/>
    <col min="14" max="14" width="5.125" bestFit="1" customWidth="1"/>
    <col min="15" max="15" width="5" bestFit="1" customWidth="1"/>
    <col min="16" max="16" width="5" style="38" bestFit="1" customWidth="1"/>
    <col min="17" max="17" width="5.75" style="39" bestFit="1" customWidth="1"/>
    <col min="18" max="18" width="8" bestFit="1" customWidth="1"/>
    <col min="19" max="19" width="5" bestFit="1" customWidth="1"/>
  </cols>
  <sheetData>
    <row r="1" spans="1:19" s="17" customFormat="1" ht="132" x14ac:dyDescent="0.25">
      <c r="A1" s="1" t="s">
        <v>27</v>
      </c>
      <c r="B1" s="2" t="s">
        <v>28</v>
      </c>
      <c r="C1" s="2" t="s">
        <v>29</v>
      </c>
      <c r="D1" s="2" t="s">
        <v>30</v>
      </c>
      <c r="E1" s="14" t="s">
        <v>31</v>
      </c>
      <c r="F1" s="2" t="s">
        <v>32</v>
      </c>
      <c r="G1" s="3" t="s">
        <v>33</v>
      </c>
      <c r="H1" s="2" t="s">
        <v>34</v>
      </c>
      <c r="I1" s="2" t="s">
        <v>35</v>
      </c>
      <c r="J1" s="2" t="s">
        <v>36</v>
      </c>
      <c r="K1" s="2" t="s">
        <v>37</v>
      </c>
      <c r="L1" s="2" t="s">
        <v>38</v>
      </c>
      <c r="M1" s="2" t="s">
        <v>39</v>
      </c>
      <c r="N1" s="2" t="s">
        <v>40</v>
      </c>
      <c r="O1" s="2" t="s">
        <v>41</v>
      </c>
      <c r="P1" s="2" t="s">
        <v>42</v>
      </c>
      <c r="Q1" s="15" t="s">
        <v>43</v>
      </c>
      <c r="R1" s="15" t="s">
        <v>44</v>
      </c>
      <c r="S1" s="16" t="s">
        <v>14</v>
      </c>
    </row>
    <row r="2" spans="1:19" x14ac:dyDescent="0.25">
      <c r="A2" s="18">
        <v>1</v>
      </c>
      <c r="B2" s="19" t="s">
        <v>45</v>
      </c>
      <c r="C2" s="19" t="s">
        <v>46</v>
      </c>
      <c r="D2" s="6" t="s">
        <v>21</v>
      </c>
      <c r="E2" s="20" t="s">
        <v>47</v>
      </c>
      <c r="F2" s="5">
        <v>1150</v>
      </c>
      <c r="G2" s="21"/>
      <c r="H2" s="5">
        <v>330</v>
      </c>
      <c r="I2" s="5" t="s">
        <v>48</v>
      </c>
      <c r="J2" s="22">
        <v>24</v>
      </c>
      <c r="K2" s="5">
        <v>6.9000000000000006E-2</v>
      </c>
      <c r="L2" s="23">
        <v>28</v>
      </c>
      <c r="M2" s="22">
        <v>4</v>
      </c>
      <c r="N2" s="5">
        <v>37</v>
      </c>
      <c r="O2" s="5">
        <v>31</v>
      </c>
      <c r="P2" s="22">
        <v>76</v>
      </c>
      <c r="Q2" s="22">
        <v>30</v>
      </c>
      <c r="R2" s="24">
        <v>25.01</v>
      </c>
      <c r="S2" s="25" t="s">
        <v>14</v>
      </c>
    </row>
    <row r="3" spans="1:19" x14ac:dyDescent="0.25">
      <c r="A3" s="18">
        <v>2</v>
      </c>
      <c r="B3" s="19" t="s">
        <v>45</v>
      </c>
      <c r="C3" s="19" t="s">
        <v>49</v>
      </c>
      <c r="D3" s="6" t="s">
        <v>15</v>
      </c>
      <c r="E3" s="20" t="s">
        <v>50</v>
      </c>
      <c r="F3" s="26">
        <v>650</v>
      </c>
      <c r="G3" s="21">
        <v>0.5</v>
      </c>
      <c r="H3" s="19">
        <v>250</v>
      </c>
      <c r="I3" s="19">
        <v>14</v>
      </c>
      <c r="J3" s="19">
        <v>17</v>
      </c>
      <c r="K3" s="27">
        <v>0.17799999999999999</v>
      </c>
      <c r="L3" s="23">
        <v>14</v>
      </c>
      <c r="M3" s="23">
        <v>4</v>
      </c>
      <c r="N3" s="19">
        <v>35</v>
      </c>
      <c r="O3" s="28">
        <v>25</v>
      </c>
      <c r="P3" s="23">
        <v>58</v>
      </c>
      <c r="Q3" s="23">
        <v>25</v>
      </c>
      <c r="R3" s="24">
        <v>25.11</v>
      </c>
      <c r="S3" s="29" t="s">
        <v>14</v>
      </c>
    </row>
    <row r="4" spans="1:19" x14ac:dyDescent="0.25">
      <c r="A4" s="18">
        <v>3</v>
      </c>
      <c r="B4" s="19" t="s">
        <v>45</v>
      </c>
      <c r="C4" s="19" t="s">
        <v>49</v>
      </c>
      <c r="D4" s="6" t="s">
        <v>19</v>
      </c>
      <c r="E4" s="20" t="s">
        <v>51</v>
      </c>
      <c r="F4" s="26">
        <v>850</v>
      </c>
      <c r="G4" s="21">
        <v>0.6</v>
      </c>
      <c r="H4" s="19">
        <v>250</v>
      </c>
      <c r="I4" s="19">
        <v>19</v>
      </c>
      <c r="J4" s="19">
        <v>23</v>
      </c>
      <c r="K4" s="27">
        <v>0.10100000000000001</v>
      </c>
      <c r="L4" s="23">
        <v>14</v>
      </c>
      <c r="M4" s="23">
        <v>4</v>
      </c>
      <c r="N4" s="19">
        <v>35</v>
      </c>
      <c r="O4" s="28">
        <v>25</v>
      </c>
      <c r="P4" s="23">
        <v>58</v>
      </c>
      <c r="Q4" s="23">
        <v>25</v>
      </c>
      <c r="R4" s="24">
        <v>27.6</v>
      </c>
      <c r="S4" s="29" t="s">
        <v>14</v>
      </c>
    </row>
    <row r="5" spans="1:19" x14ac:dyDescent="0.25">
      <c r="A5" s="18">
        <v>4</v>
      </c>
      <c r="B5" s="19" t="s">
        <v>45</v>
      </c>
      <c r="C5" s="19" t="s">
        <v>49</v>
      </c>
      <c r="D5" s="6" t="s">
        <v>17</v>
      </c>
      <c r="E5" s="20" t="s">
        <v>50</v>
      </c>
      <c r="F5" s="26">
        <v>610</v>
      </c>
      <c r="G5" s="21">
        <v>0.3</v>
      </c>
      <c r="H5" s="19">
        <v>330</v>
      </c>
      <c r="I5" s="19">
        <v>16</v>
      </c>
      <c r="J5" s="19">
        <v>22</v>
      </c>
      <c r="K5" s="27">
        <v>9.0999999999999998E-2</v>
      </c>
      <c r="L5" s="23">
        <v>16</v>
      </c>
      <c r="M5" s="23">
        <v>6</v>
      </c>
      <c r="N5" s="19">
        <v>42</v>
      </c>
      <c r="O5" s="28">
        <v>24.5</v>
      </c>
      <c r="P5" s="23">
        <v>86</v>
      </c>
      <c r="Q5" s="23">
        <v>25</v>
      </c>
      <c r="R5" s="24">
        <v>27.99</v>
      </c>
      <c r="S5" s="29" t="s">
        <v>14</v>
      </c>
    </row>
    <row r="6" spans="1:19" x14ac:dyDescent="0.25">
      <c r="B6" s="30"/>
      <c r="C6" s="30"/>
      <c r="D6" s="31"/>
      <c r="E6" s="32"/>
      <c r="F6" s="33"/>
      <c r="G6" s="34"/>
      <c r="H6" s="31"/>
      <c r="I6" s="31"/>
      <c r="J6" s="31"/>
      <c r="K6" s="31"/>
      <c r="L6" s="31"/>
      <c r="M6" s="31"/>
      <c r="N6" s="31"/>
      <c r="O6" s="31"/>
      <c r="P6" s="73">
        <f ca="1">NOW()</f>
        <v>41505.931449537034</v>
      </c>
      <c r="Q6" s="74"/>
      <c r="R6" s="74"/>
      <c r="S6" s="74"/>
    </row>
  </sheetData>
  <mergeCells count="1">
    <mergeCell ref="P6:S6"/>
  </mergeCells>
  <hyperlinks>
    <hyperlink ref="S4" r:id="rId1"/>
    <hyperlink ref="S3" r:id="rId2"/>
    <hyperlink ref="S5" r:id="rId3"/>
    <hyperlink ref="S2" r:id="rId4"/>
  </hyperlinks>
  <pageMargins left="0.7" right="0.7" top="0.75" bottom="0.75" header="0.3" footer="0.3"/>
  <pageSetup scale="92" orientation="landscape" horizontalDpi="0" verticalDpi="0" r:id="rId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I44"/>
  <sheetViews>
    <sheetView topLeftCell="B1" zoomScale="35" zoomScaleNormal="35" zoomScalePageLayoutView="32" workbookViewId="0">
      <selection activeCell="D54" sqref="D54"/>
    </sheetView>
  </sheetViews>
  <sheetFormatPr defaultRowHeight="28.5" x14ac:dyDescent="0.45"/>
  <cols>
    <col min="1" max="1" width="18.875" style="40" customWidth="1"/>
    <col min="2" max="2" width="23.75" style="40" bestFit="1" customWidth="1"/>
    <col min="3" max="3" width="27.125" style="40" bestFit="1" customWidth="1"/>
    <col min="4" max="4" width="106.625" style="40" customWidth="1"/>
    <col min="5" max="5" width="10.5" style="40" customWidth="1"/>
    <col min="6" max="6" width="33.125" style="40" customWidth="1"/>
    <col min="7" max="7" width="31.875" style="41" customWidth="1"/>
    <col min="8" max="8" width="32.875" style="40" bestFit="1" customWidth="1"/>
    <col min="9" max="9" width="31.5" style="40" bestFit="1" customWidth="1"/>
    <col min="10" max="16384" width="9" style="40"/>
  </cols>
  <sheetData>
    <row r="1" spans="1:9" x14ac:dyDescent="0.45">
      <c r="A1" s="44" t="s">
        <v>52</v>
      </c>
      <c r="B1" s="44"/>
      <c r="C1" s="44"/>
      <c r="D1" s="44"/>
      <c r="E1" s="44"/>
      <c r="F1" s="44"/>
      <c r="G1" s="45"/>
      <c r="H1" s="75">
        <f ca="1">NOW()</f>
        <v>41505.931449537034</v>
      </c>
      <c r="I1" s="75"/>
    </row>
    <row r="2" spans="1:9" x14ac:dyDescent="0.45">
      <c r="A2" s="46" t="s">
        <v>53</v>
      </c>
      <c r="B2" s="46" t="s">
        <v>54</v>
      </c>
      <c r="C2" s="46" t="s">
        <v>55</v>
      </c>
      <c r="D2" s="46" t="s">
        <v>56</v>
      </c>
      <c r="E2" s="46" t="s">
        <v>57</v>
      </c>
      <c r="F2" s="46" t="s">
        <v>58</v>
      </c>
      <c r="G2" s="46" t="s">
        <v>59</v>
      </c>
      <c r="H2" s="47" t="s">
        <v>60</v>
      </c>
      <c r="I2" s="47" t="s">
        <v>61</v>
      </c>
    </row>
    <row r="3" spans="1:9" x14ac:dyDescent="0.45">
      <c r="A3" s="48">
        <v>1</v>
      </c>
      <c r="B3" s="48" t="s">
        <v>62</v>
      </c>
      <c r="C3" s="49" t="s">
        <v>63</v>
      </c>
      <c r="D3" s="49" t="s">
        <v>64</v>
      </c>
      <c r="E3" s="48">
        <v>1</v>
      </c>
      <c r="F3" s="50">
        <v>242</v>
      </c>
      <c r="G3" s="48">
        <f t="shared" ref="G3:G7" si="0">F3*E3</f>
        <v>242</v>
      </c>
      <c r="H3" s="51">
        <v>56.39</v>
      </c>
      <c r="I3" s="52">
        <f t="shared" ref="I3:I10" si="1">H3*E3</f>
        <v>56.39</v>
      </c>
    </row>
    <row r="4" spans="1:9" x14ac:dyDescent="0.45">
      <c r="A4" s="48">
        <v>2</v>
      </c>
      <c r="B4" s="48" t="s">
        <v>65</v>
      </c>
      <c r="C4" s="49" t="s">
        <v>66</v>
      </c>
      <c r="D4" s="49" t="s">
        <v>67</v>
      </c>
      <c r="E4" s="48">
        <v>1</v>
      </c>
      <c r="F4" s="48">
        <v>18</v>
      </c>
      <c r="G4" s="48">
        <f t="shared" si="0"/>
        <v>18</v>
      </c>
      <c r="H4" s="52">
        <v>29.99</v>
      </c>
      <c r="I4" s="52">
        <f t="shared" si="1"/>
        <v>29.99</v>
      </c>
    </row>
    <row r="5" spans="1:9" x14ac:dyDescent="0.45">
      <c r="A5" s="48">
        <v>3</v>
      </c>
      <c r="B5" s="48" t="s">
        <v>65</v>
      </c>
      <c r="C5" s="49" t="s">
        <v>68</v>
      </c>
      <c r="D5" s="49" t="s">
        <v>69</v>
      </c>
      <c r="E5" s="48">
        <v>1</v>
      </c>
      <c r="F5" s="48">
        <v>18</v>
      </c>
      <c r="G5" s="48">
        <f t="shared" si="0"/>
        <v>18</v>
      </c>
      <c r="H5" s="52">
        <v>9.11</v>
      </c>
      <c r="I5" s="52">
        <f t="shared" si="1"/>
        <v>9.11</v>
      </c>
    </row>
    <row r="6" spans="1:9" x14ac:dyDescent="0.45">
      <c r="A6" s="48">
        <v>4</v>
      </c>
      <c r="B6" s="48" t="s">
        <v>70</v>
      </c>
      <c r="C6" s="49" t="s">
        <v>71</v>
      </c>
      <c r="D6" s="49" t="s">
        <v>72</v>
      </c>
      <c r="E6" s="48">
        <v>1</v>
      </c>
      <c r="F6" s="48">
        <v>10</v>
      </c>
      <c r="G6" s="48">
        <f t="shared" si="0"/>
        <v>10</v>
      </c>
      <c r="H6" s="52">
        <v>0</v>
      </c>
      <c r="I6" s="52">
        <f t="shared" si="1"/>
        <v>0</v>
      </c>
    </row>
    <row r="7" spans="1:9" x14ac:dyDescent="0.45">
      <c r="A7" s="48">
        <v>5</v>
      </c>
      <c r="B7" s="48" t="s">
        <v>73</v>
      </c>
      <c r="C7" s="49" t="s">
        <v>74</v>
      </c>
      <c r="D7" s="49" t="s">
        <v>75</v>
      </c>
      <c r="E7" s="48">
        <v>1</v>
      </c>
      <c r="F7" s="48">
        <v>195</v>
      </c>
      <c r="G7" s="48">
        <f t="shared" si="0"/>
        <v>195</v>
      </c>
      <c r="H7" s="52">
        <v>0</v>
      </c>
      <c r="I7" s="52">
        <f t="shared" si="1"/>
        <v>0</v>
      </c>
    </row>
    <row r="8" spans="1:9" x14ac:dyDescent="0.45">
      <c r="A8" s="48">
        <v>6</v>
      </c>
      <c r="B8" s="48" t="s">
        <v>73</v>
      </c>
      <c r="C8" s="49" t="s">
        <v>76</v>
      </c>
      <c r="D8" s="49" t="s">
        <v>77</v>
      </c>
      <c r="E8" s="48">
        <v>1</v>
      </c>
      <c r="F8" s="48">
        <v>75</v>
      </c>
      <c r="G8" s="48">
        <f>F8*E8</f>
        <v>75</v>
      </c>
      <c r="H8" s="52">
        <v>0</v>
      </c>
      <c r="I8" s="52">
        <f t="shared" si="1"/>
        <v>0</v>
      </c>
    </row>
    <row r="9" spans="1:9" x14ac:dyDescent="0.45">
      <c r="A9" s="48">
        <v>7</v>
      </c>
      <c r="B9" s="48" t="s">
        <v>62</v>
      </c>
      <c r="C9" s="49" t="s">
        <v>78</v>
      </c>
      <c r="D9" s="49" t="s">
        <v>79</v>
      </c>
      <c r="E9" s="48">
        <v>1</v>
      </c>
      <c r="F9" s="48">
        <v>284</v>
      </c>
      <c r="G9" s="48">
        <f>F9*E9</f>
        <v>284</v>
      </c>
      <c r="H9" s="52">
        <v>45.89</v>
      </c>
      <c r="I9" s="52">
        <f t="shared" si="1"/>
        <v>45.89</v>
      </c>
    </row>
    <row r="10" spans="1:9" x14ac:dyDescent="0.45">
      <c r="A10" s="48">
        <v>8</v>
      </c>
      <c r="B10" s="48" t="s">
        <v>70</v>
      </c>
      <c r="C10" s="49" t="s">
        <v>80</v>
      </c>
      <c r="D10" s="49" t="s">
        <v>81</v>
      </c>
      <c r="E10" s="48">
        <v>4</v>
      </c>
      <c r="F10" s="48">
        <v>15</v>
      </c>
      <c r="G10" s="48">
        <f>F10*E10</f>
        <v>60</v>
      </c>
      <c r="H10" s="52">
        <v>6</v>
      </c>
      <c r="I10" s="52">
        <f t="shared" si="1"/>
        <v>24</v>
      </c>
    </row>
    <row r="11" spans="1:9" x14ac:dyDescent="0.45">
      <c r="A11" s="53" t="s">
        <v>82</v>
      </c>
      <c r="B11" s="53"/>
      <c r="C11" s="53"/>
      <c r="D11" s="53" t="s">
        <v>83</v>
      </c>
      <c r="E11" s="46">
        <f>SUM(E3:E10)</f>
        <v>11</v>
      </c>
      <c r="F11" s="53" t="s">
        <v>84</v>
      </c>
      <c r="G11" s="46">
        <f>SUM(G3:G10)</f>
        <v>902</v>
      </c>
      <c r="H11" s="54" t="s">
        <v>85</v>
      </c>
      <c r="I11" s="47">
        <f>SUM(I3:I10)</f>
        <v>165.38</v>
      </c>
    </row>
    <row r="12" spans="1:9" x14ac:dyDescent="0.45">
      <c r="A12" s="55" t="s">
        <v>86</v>
      </c>
      <c r="B12" s="44"/>
      <c r="C12" s="44"/>
      <c r="D12" s="44"/>
      <c r="E12" s="44"/>
      <c r="F12" s="44"/>
      <c r="G12" s="45"/>
      <c r="H12" s="44"/>
      <c r="I12" s="44"/>
    </row>
    <row r="13" spans="1:9" x14ac:dyDescent="0.45">
      <c r="A13" s="56">
        <v>1</v>
      </c>
      <c r="B13" s="44" t="s">
        <v>87</v>
      </c>
      <c r="C13" s="44"/>
      <c r="D13" s="44"/>
      <c r="E13" s="44"/>
      <c r="F13" s="44"/>
      <c r="G13" s="45"/>
      <c r="H13" s="44"/>
      <c r="I13" s="44"/>
    </row>
    <row r="14" spans="1:9" x14ac:dyDescent="0.45">
      <c r="A14" s="57" t="s">
        <v>53</v>
      </c>
      <c r="B14" s="46" t="s">
        <v>54</v>
      </c>
      <c r="C14" s="46" t="s">
        <v>55</v>
      </c>
      <c r="D14" s="46" t="s">
        <v>88</v>
      </c>
      <c r="E14" s="46" t="s">
        <v>57</v>
      </c>
      <c r="F14" s="46" t="s">
        <v>58</v>
      </c>
      <c r="G14" s="46" t="s">
        <v>59</v>
      </c>
      <c r="H14" s="47" t="s">
        <v>60</v>
      </c>
      <c r="I14" s="47" t="s">
        <v>61</v>
      </c>
    </row>
    <row r="15" spans="1:9" x14ac:dyDescent="0.45">
      <c r="A15" s="48">
        <v>9</v>
      </c>
      <c r="B15" s="48" t="s">
        <v>65</v>
      </c>
      <c r="C15" s="49" t="s">
        <v>89</v>
      </c>
      <c r="D15" s="49" t="s">
        <v>111</v>
      </c>
      <c r="E15" s="48">
        <v>4</v>
      </c>
      <c r="F15" s="48">
        <v>76</v>
      </c>
      <c r="G15" s="48">
        <f>E15*F15</f>
        <v>304</v>
      </c>
      <c r="H15" s="52">
        <v>25.01</v>
      </c>
      <c r="I15" s="52">
        <f>H15*E15</f>
        <v>100.04</v>
      </c>
    </row>
    <row r="16" spans="1:9" x14ac:dyDescent="0.45">
      <c r="A16" s="48">
        <v>10</v>
      </c>
      <c r="B16" s="48" t="s">
        <v>65</v>
      </c>
      <c r="C16" s="49" t="s">
        <v>90</v>
      </c>
      <c r="D16" s="49" t="s">
        <v>91</v>
      </c>
      <c r="E16" s="48">
        <v>4</v>
      </c>
      <c r="F16" s="48">
        <v>22</v>
      </c>
      <c r="G16" s="48">
        <f t="shared" ref="G16:G17" si="2">E16*F16</f>
        <v>88</v>
      </c>
      <c r="H16" s="52">
        <v>12.61</v>
      </c>
      <c r="I16" s="52">
        <f t="shared" ref="I16:I17" si="3">H16*E16</f>
        <v>50.44</v>
      </c>
    </row>
    <row r="17" spans="1:9" x14ac:dyDescent="0.45">
      <c r="A17" s="48">
        <v>11</v>
      </c>
      <c r="B17" s="48" t="s">
        <v>65</v>
      </c>
      <c r="C17" s="49" t="s">
        <v>92</v>
      </c>
      <c r="D17" s="58" t="s">
        <v>93</v>
      </c>
      <c r="E17" s="48">
        <v>1</v>
      </c>
      <c r="F17" s="48">
        <v>462</v>
      </c>
      <c r="G17" s="48">
        <f t="shared" si="2"/>
        <v>462</v>
      </c>
      <c r="H17" s="52">
        <v>38.81</v>
      </c>
      <c r="I17" s="52">
        <f t="shared" si="3"/>
        <v>38.81</v>
      </c>
    </row>
    <row r="18" spans="1:9" x14ac:dyDescent="0.45">
      <c r="A18" s="53" t="s">
        <v>82</v>
      </c>
      <c r="B18" s="53"/>
      <c r="C18" s="53"/>
      <c r="D18" s="53"/>
      <c r="E18" s="46"/>
      <c r="F18" s="53" t="s">
        <v>94</v>
      </c>
      <c r="G18" s="46">
        <f>SUM(G15:G17)</f>
        <v>854</v>
      </c>
      <c r="H18" s="54" t="s">
        <v>95</v>
      </c>
      <c r="I18" s="47">
        <f>SUM(I15:I17)</f>
        <v>189.29000000000002</v>
      </c>
    </row>
    <row r="19" spans="1:9" x14ac:dyDescent="0.45">
      <c r="A19" s="59"/>
      <c r="B19" s="59"/>
      <c r="C19" s="59"/>
      <c r="D19" s="59"/>
      <c r="E19" s="60"/>
      <c r="F19" s="61" t="s">
        <v>96</v>
      </c>
      <c r="G19" s="62">
        <f>$G$11+G18</f>
        <v>1756</v>
      </c>
      <c r="H19" s="63" t="s">
        <v>97</v>
      </c>
      <c r="I19" s="64">
        <f>$I$11+I18</f>
        <v>354.67</v>
      </c>
    </row>
    <row r="20" spans="1:9" x14ac:dyDescent="0.45">
      <c r="A20" s="65"/>
      <c r="B20" s="66"/>
      <c r="C20" s="66"/>
      <c r="D20" s="66"/>
      <c r="E20" s="66"/>
      <c r="F20" s="67" t="s">
        <v>98</v>
      </c>
      <c r="G20" s="68">
        <f>G19*0.002205</f>
        <v>3.8719799999999998</v>
      </c>
      <c r="H20" s="69"/>
      <c r="I20" s="69"/>
    </row>
    <row r="21" spans="1:9" x14ac:dyDescent="0.45">
      <c r="A21" s="56">
        <v>2</v>
      </c>
      <c r="B21" s="44" t="s">
        <v>99</v>
      </c>
      <c r="C21" s="44"/>
      <c r="D21" s="44"/>
      <c r="E21" s="44"/>
      <c r="F21" s="44"/>
      <c r="G21" s="45"/>
      <c r="H21" s="44"/>
      <c r="I21" s="44"/>
    </row>
    <row r="22" spans="1:9" x14ac:dyDescent="0.45">
      <c r="A22" s="57" t="s">
        <v>53</v>
      </c>
      <c r="B22" s="46" t="s">
        <v>54</v>
      </c>
      <c r="C22" s="46" t="s">
        <v>55</v>
      </c>
      <c r="D22" s="46" t="s">
        <v>88</v>
      </c>
      <c r="E22" s="46" t="s">
        <v>57</v>
      </c>
      <c r="F22" s="46" t="s">
        <v>58</v>
      </c>
      <c r="G22" s="46" t="s">
        <v>59</v>
      </c>
      <c r="H22" s="47" t="s">
        <v>60</v>
      </c>
      <c r="I22" s="47" t="s">
        <v>61</v>
      </c>
    </row>
    <row r="23" spans="1:9" x14ac:dyDescent="0.45">
      <c r="A23" s="48">
        <v>9</v>
      </c>
      <c r="B23" s="48" t="s">
        <v>65</v>
      </c>
      <c r="C23" s="49" t="s">
        <v>89</v>
      </c>
      <c r="D23" s="44" t="s">
        <v>100</v>
      </c>
      <c r="E23" s="48">
        <v>4</v>
      </c>
      <c r="F23" s="48">
        <v>58</v>
      </c>
      <c r="G23" s="48">
        <f>E23*F23</f>
        <v>232</v>
      </c>
      <c r="H23" s="52">
        <v>25.11</v>
      </c>
      <c r="I23" s="52">
        <f>H23*E23</f>
        <v>100.44</v>
      </c>
    </row>
    <row r="24" spans="1:9" x14ac:dyDescent="0.45">
      <c r="A24" s="48">
        <v>10</v>
      </c>
      <c r="B24" s="48" t="s">
        <v>65</v>
      </c>
      <c r="C24" s="49" t="s">
        <v>90</v>
      </c>
      <c r="D24" s="49" t="s">
        <v>91</v>
      </c>
      <c r="E24" s="48">
        <v>4</v>
      </c>
      <c r="F24" s="48">
        <v>22</v>
      </c>
      <c r="G24" s="48">
        <f t="shared" ref="G24:G25" si="4">E24*F24</f>
        <v>88</v>
      </c>
      <c r="H24" s="52">
        <v>12.61</v>
      </c>
      <c r="I24" s="52">
        <f t="shared" ref="I24:I25" si="5">H24*E24</f>
        <v>50.44</v>
      </c>
    </row>
    <row r="25" spans="1:9" x14ac:dyDescent="0.45">
      <c r="A25" s="48">
        <v>11</v>
      </c>
      <c r="B25" s="48" t="s">
        <v>65</v>
      </c>
      <c r="C25" s="49" t="s">
        <v>92</v>
      </c>
      <c r="D25" s="58" t="s">
        <v>101</v>
      </c>
      <c r="E25" s="48">
        <v>1</v>
      </c>
      <c r="F25" s="48">
        <v>576</v>
      </c>
      <c r="G25" s="48">
        <f t="shared" si="4"/>
        <v>576</v>
      </c>
      <c r="H25" s="52">
        <v>76.59</v>
      </c>
      <c r="I25" s="52">
        <f t="shared" si="5"/>
        <v>76.59</v>
      </c>
    </row>
    <row r="26" spans="1:9" x14ac:dyDescent="0.45">
      <c r="A26" s="53" t="s">
        <v>82</v>
      </c>
      <c r="B26" s="53"/>
      <c r="C26" s="53"/>
      <c r="D26" s="53"/>
      <c r="E26" s="46"/>
      <c r="F26" s="53" t="s">
        <v>94</v>
      </c>
      <c r="G26" s="46">
        <f>SUM(G23:G25)</f>
        <v>896</v>
      </c>
      <c r="H26" s="54" t="s">
        <v>95</v>
      </c>
      <c r="I26" s="47">
        <f>SUM(I23:I25)</f>
        <v>227.47</v>
      </c>
    </row>
    <row r="27" spans="1:9" x14ac:dyDescent="0.45">
      <c r="A27" s="59"/>
      <c r="B27" s="59"/>
      <c r="C27" s="59"/>
      <c r="D27" s="59"/>
      <c r="E27" s="60"/>
      <c r="F27" s="61" t="s">
        <v>96</v>
      </c>
      <c r="G27" s="62">
        <f>$G$11+G26</f>
        <v>1798</v>
      </c>
      <c r="H27" s="63" t="s">
        <v>97</v>
      </c>
      <c r="I27" s="64">
        <f>$I$11+I26</f>
        <v>392.85</v>
      </c>
    </row>
    <row r="28" spans="1:9" x14ac:dyDescent="0.45">
      <c r="A28" s="65"/>
      <c r="B28" s="66"/>
      <c r="C28" s="66"/>
      <c r="D28" s="66"/>
      <c r="E28" s="66"/>
      <c r="F28" s="67" t="s">
        <v>98</v>
      </c>
      <c r="G28" s="68">
        <f>G27*0.002205</f>
        <v>3.9645899999999998</v>
      </c>
      <c r="H28" s="69"/>
      <c r="I28" s="69"/>
    </row>
    <row r="29" spans="1:9" x14ac:dyDescent="0.45">
      <c r="A29" s="56">
        <v>3</v>
      </c>
      <c r="B29" s="44" t="s">
        <v>102</v>
      </c>
      <c r="C29" s="44"/>
      <c r="D29" s="44"/>
      <c r="E29" s="44"/>
      <c r="F29" s="44"/>
      <c r="G29" s="45"/>
      <c r="H29" s="44"/>
      <c r="I29" s="44"/>
    </row>
    <row r="30" spans="1:9" x14ac:dyDescent="0.45">
      <c r="A30" s="57" t="s">
        <v>53</v>
      </c>
      <c r="B30" s="46" t="s">
        <v>54</v>
      </c>
      <c r="C30" s="46" t="s">
        <v>55</v>
      </c>
      <c r="D30" s="46" t="s">
        <v>88</v>
      </c>
      <c r="E30" s="46" t="s">
        <v>57</v>
      </c>
      <c r="F30" s="46" t="s">
        <v>58</v>
      </c>
      <c r="G30" s="46" t="s">
        <v>59</v>
      </c>
      <c r="H30" s="47" t="s">
        <v>60</v>
      </c>
      <c r="I30" s="47" t="s">
        <v>61</v>
      </c>
    </row>
    <row r="31" spans="1:9" x14ac:dyDescent="0.45">
      <c r="A31" s="48">
        <v>9</v>
      </c>
      <c r="B31" s="48" t="s">
        <v>65</v>
      </c>
      <c r="C31" s="49" t="s">
        <v>89</v>
      </c>
      <c r="D31" s="44" t="s">
        <v>103</v>
      </c>
      <c r="E31" s="48">
        <v>4</v>
      </c>
      <c r="F31" s="48">
        <v>58</v>
      </c>
      <c r="G31" s="48">
        <f>E31*F31</f>
        <v>232</v>
      </c>
      <c r="H31" s="52">
        <v>27.6</v>
      </c>
      <c r="I31" s="52">
        <f>H31*E31</f>
        <v>110.4</v>
      </c>
    </row>
    <row r="32" spans="1:9" x14ac:dyDescent="0.45">
      <c r="A32" s="48">
        <v>10</v>
      </c>
      <c r="B32" s="48" t="s">
        <v>65</v>
      </c>
      <c r="C32" s="49" t="s">
        <v>90</v>
      </c>
      <c r="D32" s="49" t="s">
        <v>91</v>
      </c>
      <c r="E32" s="48">
        <v>4</v>
      </c>
      <c r="F32" s="48">
        <v>22</v>
      </c>
      <c r="G32" s="48">
        <f t="shared" ref="G32:G33" si="6">E32*F32</f>
        <v>88</v>
      </c>
      <c r="H32" s="52">
        <v>12.61</v>
      </c>
      <c r="I32" s="52">
        <f t="shared" ref="I32:I33" si="7">H32*E32</f>
        <v>50.44</v>
      </c>
    </row>
    <row r="33" spans="1:9" x14ac:dyDescent="0.45">
      <c r="A33" s="48">
        <v>11</v>
      </c>
      <c r="B33" s="48" t="s">
        <v>65</v>
      </c>
      <c r="C33" s="49" t="s">
        <v>92</v>
      </c>
      <c r="D33" s="58" t="s">
        <v>104</v>
      </c>
      <c r="E33" s="48">
        <v>1</v>
      </c>
      <c r="F33" s="48">
        <v>442</v>
      </c>
      <c r="G33" s="48">
        <f t="shared" si="6"/>
        <v>442</v>
      </c>
      <c r="H33" s="52">
        <v>57.44</v>
      </c>
      <c r="I33" s="52">
        <f t="shared" si="7"/>
        <v>57.44</v>
      </c>
    </row>
    <row r="34" spans="1:9" x14ac:dyDescent="0.45">
      <c r="A34" s="53" t="s">
        <v>82</v>
      </c>
      <c r="B34" s="53"/>
      <c r="C34" s="53"/>
      <c r="D34" s="53"/>
      <c r="E34" s="46"/>
      <c r="F34" s="53" t="s">
        <v>94</v>
      </c>
      <c r="G34" s="46">
        <f>SUM(G31:G33)</f>
        <v>762</v>
      </c>
      <c r="H34" s="54" t="s">
        <v>95</v>
      </c>
      <c r="I34" s="47">
        <f>SUM(I31:I33)</f>
        <v>218.28</v>
      </c>
    </row>
    <row r="35" spans="1:9" x14ac:dyDescent="0.45">
      <c r="A35" s="59"/>
      <c r="B35" s="59"/>
      <c r="C35" s="59"/>
      <c r="D35" s="59"/>
      <c r="E35" s="60"/>
      <c r="F35" s="61" t="s">
        <v>96</v>
      </c>
      <c r="G35" s="62">
        <f>$G$11+G34</f>
        <v>1664</v>
      </c>
      <c r="H35" s="63" t="s">
        <v>97</v>
      </c>
      <c r="I35" s="64">
        <f>$I$11+I34</f>
        <v>383.65999999999997</v>
      </c>
    </row>
    <row r="36" spans="1:9" x14ac:dyDescent="0.45">
      <c r="A36" s="65"/>
      <c r="B36" s="66"/>
      <c r="C36" s="66"/>
      <c r="D36" s="66"/>
      <c r="E36" s="66"/>
      <c r="F36" s="67" t="s">
        <v>98</v>
      </c>
      <c r="G36" s="68">
        <f>G35*0.002205</f>
        <v>3.6691199999999999</v>
      </c>
      <c r="H36" s="69"/>
      <c r="I36" s="69"/>
    </row>
    <row r="37" spans="1:9" x14ac:dyDescent="0.45">
      <c r="A37" s="56">
        <v>4</v>
      </c>
      <c r="B37" s="44" t="s">
        <v>105</v>
      </c>
      <c r="C37" s="44"/>
      <c r="D37" s="44"/>
      <c r="E37" s="44"/>
      <c r="F37" s="44"/>
      <c r="G37" s="45"/>
      <c r="H37" s="44"/>
      <c r="I37" s="44"/>
    </row>
    <row r="38" spans="1:9" x14ac:dyDescent="0.45">
      <c r="A38" s="57" t="s">
        <v>53</v>
      </c>
      <c r="B38" s="46" t="s">
        <v>54</v>
      </c>
      <c r="C38" s="46" t="s">
        <v>55</v>
      </c>
      <c r="D38" s="46" t="s">
        <v>88</v>
      </c>
      <c r="E38" s="46" t="s">
        <v>57</v>
      </c>
      <c r="F38" s="46" t="s">
        <v>58</v>
      </c>
      <c r="G38" s="46" t="s">
        <v>59</v>
      </c>
      <c r="H38" s="47" t="s">
        <v>60</v>
      </c>
      <c r="I38" s="47" t="s">
        <v>61</v>
      </c>
    </row>
    <row r="39" spans="1:9" x14ac:dyDescent="0.45">
      <c r="A39" s="48">
        <v>9</v>
      </c>
      <c r="B39" s="48" t="s">
        <v>65</v>
      </c>
      <c r="C39" s="49" t="s">
        <v>89</v>
      </c>
      <c r="D39" s="44" t="s">
        <v>106</v>
      </c>
      <c r="E39" s="48">
        <v>4</v>
      </c>
      <c r="F39" s="48">
        <v>86</v>
      </c>
      <c r="G39" s="48">
        <f>E39*F39</f>
        <v>344</v>
      </c>
      <c r="H39" s="52">
        <v>27.99</v>
      </c>
      <c r="I39" s="52">
        <f>H39*E39</f>
        <v>111.96</v>
      </c>
    </row>
    <row r="40" spans="1:9" x14ac:dyDescent="0.45">
      <c r="A40" s="48">
        <v>10</v>
      </c>
      <c r="B40" s="48" t="s">
        <v>65</v>
      </c>
      <c r="C40" s="49" t="s">
        <v>90</v>
      </c>
      <c r="D40" s="49" t="s">
        <v>113</v>
      </c>
      <c r="E40" s="48">
        <v>1</v>
      </c>
      <c r="F40" s="48">
        <v>112</v>
      </c>
      <c r="G40" s="48">
        <f t="shared" ref="G40:G41" si="8">E40*F40</f>
        <v>112</v>
      </c>
      <c r="H40" s="52">
        <v>28.53</v>
      </c>
      <c r="I40" s="52">
        <f t="shared" ref="I40:I41" si="9">H40*E40</f>
        <v>28.53</v>
      </c>
    </row>
    <row r="41" spans="1:9" x14ac:dyDescent="0.45">
      <c r="A41" s="48">
        <v>11</v>
      </c>
      <c r="B41" s="48" t="s">
        <v>65</v>
      </c>
      <c r="C41" s="49" t="s">
        <v>92</v>
      </c>
      <c r="D41" s="58" t="s">
        <v>101</v>
      </c>
      <c r="E41" s="48">
        <v>1</v>
      </c>
      <c r="F41" s="48">
        <v>576</v>
      </c>
      <c r="G41" s="48">
        <f t="shared" si="8"/>
        <v>576</v>
      </c>
      <c r="H41" s="52">
        <v>76.59</v>
      </c>
      <c r="I41" s="52">
        <f t="shared" si="9"/>
        <v>76.59</v>
      </c>
    </row>
    <row r="42" spans="1:9" x14ac:dyDescent="0.45">
      <c r="A42" s="53" t="s">
        <v>82</v>
      </c>
      <c r="B42" s="53"/>
      <c r="C42" s="53"/>
      <c r="D42" s="53"/>
      <c r="E42" s="46"/>
      <c r="F42" s="53" t="s">
        <v>94</v>
      </c>
      <c r="G42" s="46">
        <f>SUM(G39:G41)</f>
        <v>1032</v>
      </c>
      <c r="H42" s="54" t="s">
        <v>95</v>
      </c>
      <c r="I42" s="47">
        <f>SUM(I39:I41)</f>
        <v>217.08</v>
      </c>
    </row>
    <row r="43" spans="1:9" x14ac:dyDescent="0.45">
      <c r="A43" s="59"/>
      <c r="B43" s="59"/>
      <c r="C43" s="59"/>
      <c r="D43" s="59"/>
      <c r="E43" s="60"/>
      <c r="F43" s="61" t="s">
        <v>96</v>
      </c>
      <c r="G43" s="62">
        <f>$G$11+G42</f>
        <v>1934</v>
      </c>
      <c r="H43" s="63" t="s">
        <v>97</v>
      </c>
      <c r="I43" s="64">
        <f>$I$11+I42</f>
        <v>382.46000000000004</v>
      </c>
    </row>
    <row r="44" spans="1:9" x14ac:dyDescent="0.45">
      <c r="A44" s="65"/>
      <c r="B44" s="66"/>
      <c r="C44" s="66"/>
      <c r="D44" s="66"/>
      <c r="E44" s="66"/>
      <c r="F44" s="67" t="s">
        <v>98</v>
      </c>
      <c r="G44" s="68">
        <f>G43*0.002205</f>
        <v>4.2644700000000002</v>
      </c>
      <c r="H44" s="69"/>
      <c r="I44" s="69"/>
    </row>
  </sheetData>
  <mergeCells count="1">
    <mergeCell ref="H1:I1"/>
  </mergeCells>
  <pageMargins left="0.7" right="0.7" top="0.75" bottom="0.75" header="0.3" footer="0.3"/>
  <pageSetup scale="36" orientation="landscape" horizontalDpi="0" verticalDpi="0" r:id="rId1"/>
  <headerFooter>
    <oddFooter>Page &amp;P of 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I25"/>
  <sheetViews>
    <sheetView tabSelected="1" view="pageLayout" topLeftCell="B1" zoomScale="40" zoomScaleNormal="36" zoomScalePageLayoutView="40" workbookViewId="0">
      <selection activeCell="F13" sqref="F13"/>
    </sheetView>
  </sheetViews>
  <sheetFormatPr defaultRowHeight="19.5" x14ac:dyDescent="0.4"/>
  <cols>
    <col min="1" max="1" width="21.625" style="79" customWidth="1"/>
    <col min="2" max="2" width="23.75" style="79" customWidth="1"/>
    <col min="3" max="3" width="26" style="79" bestFit="1" customWidth="1"/>
    <col min="4" max="4" width="92.875" style="79" bestFit="1" customWidth="1"/>
    <col min="5" max="5" width="10.625" style="79" bestFit="1" customWidth="1"/>
    <col min="6" max="6" width="35.5" style="79" bestFit="1" customWidth="1"/>
    <col min="7" max="7" width="33" style="79" bestFit="1" customWidth="1"/>
    <col min="8" max="8" width="42.25" style="79" bestFit="1" customWidth="1"/>
    <col min="9" max="9" width="28.5" style="79" bestFit="1" customWidth="1"/>
    <col min="10" max="16384" width="9" style="79"/>
  </cols>
  <sheetData>
    <row r="1" spans="1:9" ht="32.25" x14ac:dyDescent="0.6">
      <c r="A1" s="76" t="s">
        <v>52</v>
      </c>
      <c r="B1" s="76"/>
      <c r="C1" s="76"/>
      <c r="D1" s="76"/>
      <c r="E1" s="76"/>
      <c r="F1" s="76"/>
      <c r="G1" s="77"/>
      <c r="H1" s="78">
        <f ca="1">NOW()</f>
        <v>41505.931449537034</v>
      </c>
      <c r="I1" s="78"/>
    </row>
    <row r="2" spans="1:9" ht="32.25" x14ac:dyDescent="0.6">
      <c r="A2" s="80" t="s">
        <v>53</v>
      </c>
      <c r="B2" s="80" t="s">
        <v>54</v>
      </c>
      <c r="C2" s="80" t="s">
        <v>55</v>
      </c>
      <c r="D2" s="80" t="s">
        <v>56</v>
      </c>
      <c r="E2" s="80" t="s">
        <v>57</v>
      </c>
      <c r="F2" s="80" t="s">
        <v>58</v>
      </c>
      <c r="G2" s="80" t="s">
        <v>59</v>
      </c>
      <c r="H2" s="81" t="s">
        <v>60</v>
      </c>
      <c r="I2" s="81" t="s">
        <v>61</v>
      </c>
    </row>
    <row r="3" spans="1:9" ht="32.25" x14ac:dyDescent="0.6">
      <c r="A3" s="82">
        <v>1</v>
      </c>
      <c r="B3" s="82" t="s">
        <v>62</v>
      </c>
      <c r="C3" s="83" t="s">
        <v>63</v>
      </c>
      <c r="D3" s="83" t="s">
        <v>123</v>
      </c>
      <c r="E3" s="82">
        <v>1</v>
      </c>
      <c r="F3" s="84">
        <v>242</v>
      </c>
      <c r="G3" s="82">
        <f t="shared" ref="G3:G6" si="0">F3*E3</f>
        <v>242</v>
      </c>
      <c r="H3" s="85">
        <v>56.39</v>
      </c>
      <c r="I3" s="86">
        <f t="shared" ref="I3:I8" si="1">H3*E3</f>
        <v>56.39</v>
      </c>
    </row>
    <row r="4" spans="1:9" ht="32.25" x14ac:dyDescent="0.6">
      <c r="A4" s="82">
        <v>2</v>
      </c>
      <c r="B4" s="82" t="s">
        <v>65</v>
      </c>
      <c r="C4" s="83" t="s">
        <v>66</v>
      </c>
      <c r="D4" s="83" t="s">
        <v>67</v>
      </c>
      <c r="E4" s="82">
        <v>1</v>
      </c>
      <c r="F4" s="82">
        <v>18</v>
      </c>
      <c r="G4" s="82">
        <f t="shared" si="0"/>
        <v>18</v>
      </c>
      <c r="H4" s="86">
        <v>29.99</v>
      </c>
      <c r="I4" s="86">
        <f t="shared" si="1"/>
        <v>29.99</v>
      </c>
    </row>
    <row r="5" spans="1:9" ht="32.25" x14ac:dyDescent="0.6">
      <c r="A5" s="82">
        <v>3</v>
      </c>
      <c r="B5" s="82" t="s">
        <v>65</v>
      </c>
      <c r="C5" s="83" t="s">
        <v>68</v>
      </c>
      <c r="D5" s="83" t="s">
        <v>69</v>
      </c>
      <c r="E5" s="82">
        <v>1</v>
      </c>
      <c r="F5" s="82">
        <v>18</v>
      </c>
      <c r="G5" s="82">
        <f t="shared" si="0"/>
        <v>18</v>
      </c>
      <c r="H5" s="86">
        <v>9.11</v>
      </c>
      <c r="I5" s="86">
        <f t="shared" si="1"/>
        <v>9.11</v>
      </c>
    </row>
    <row r="6" spans="1:9" ht="32.25" x14ac:dyDescent="0.6">
      <c r="A6" s="82">
        <v>4</v>
      </c>
      <c r="B6" s="82" t="s">
        <v>70</v>
      </c>
      <c r="C6" s="83" t="s">
        <v>71</v>
      </c>
      <c r="D6" s="83" t="s">
        <v>72</v>
      </c>
      <c r="E6" s="82">
        <v>1</v>
      </c>
      <c r="F6" s="82">
        <v>10</v>
      </c>
      <c r="G6" s="82">
        <f t="shared" si="0"/>
        <v>10</v>
      </c>
      <c r="H6" s="86">
        <v>0</v>
      </c>
      <c r="I6" s="86">
        <f t="shared" si="1"/>
        <v>0</v>
      </c>
    </row>
    <row r="7" spans="1:9" ht="32.25" x14ac:dyDescent="0.6">
      <c r="A7" s="82">
        <v>7</v>
      </c>
      <c r="B7" s="82" t="s">
        <v>62</v>
      </c>
      <c r="C7" s="83" t="s">
        <v>78</v>
      </c>
      <c r="D7" s="83" t="s">
        <v>79</v>
      </c>
      <c r="E7" s="82">
        <v>1</v>
      </c>
      <c r="F7" s="82">
        <v>284</v>
      </c>
      <c r="G7" s="82">
        <f>F7*E7</f>
        <v>284</v>
      </c>
      <c r="H7" s="86">
        <v>45.89</v>
      </c>
      <c r="I7" s="86">
        <f t="shared" si="1"/>
        <v>45.89</v>
      </c>
    </row>
    <row r="8" spans="1:9" ht="32.25" x14ac:dyDescent="0.6">
      <c r="A8" s="82">
        <v>8</v>
      </c>
      <c r="B8" s="82" t="s">
        <v>70</v>
      </c>
      <c r="C8" s="83" t="s">
        <v>80</v>
      </c>
      <c r="D8" s="83" t="s">
        <v>120</v>
      </c>
      <c r="E8" s="82">
        <v>4</v>
      </c>
      <c r="F8" s="82">
        <v>15</v>
      </c>
      <c r="G8" s="82">
        <f>F8*E8</f>
        <v>60</v>
      </c>
      <c r="H8" s="86">
        <v>6</v>
      </c>
      <c r="I8" s="86">
        <f t="shared" si="1"/>
        <v>24</v>
      </c>
    </row>
    <row r="9" spans="1:9" ht="32.25" x14ac:dyDescent="0.6">
      <c r="A9" s="87" t="s">
        <v>82</v>
      </c>
      <c r="B9" s="87"/>
      <c r="C9" s="87"/>
      <c r="D9" s="87" t="s">
        <v>83</v>
      </c>
      <c r="E9" s="88">
        <f>SUM(E3:E8)</f>
        <v>9</v>
      </c>
      <c r="F9" s="87" t="s">
        <v>84</v>
      </c>
      <c r="G9" s="88">
        <f>SUM(G3:G8)</f>
        <v>632</v>
      </c>
      <c r="H9" s="89" t="s">
        <v>85</v>
      </c>
      <c r="I9" s="90">
        <f>SUM(I3:I8)</f>
        <v>165.38</v>
      </c>
    </row>
    <row r="10" spans="1:9" s="95" customFormat="1" ht="32.25" x14ac:dyDescent="0.6">
      <c r="A10" s="76" t="s">
        <v>86</v>
      </c>
      <c r="B10" s="91"/>
      <c r="C10" s="91"/>
      <c r="D10" s="91"/>
      <c r="E10" s="92"/>
      <c r="F10" s="91"/>
      <c r="G10" s="92"/>
      <c r="H10" s="93"/>
      <c r="I10" s="94"/>
    </row>
    <row r="11" spans="1:9" ht="32.25" x14ac:dyDescent="0.6">
      <c r="A11" s="96" t="s">
        <v>53</v>
      </c>
      <c r="B11" s="80" t="s">
        <v>54</v>
      </c>
      <c r="C11" s="80" t="s">
        <v>55</v>
      </c>
      <c r="D11" s="80" t="s">
        <v>88</v>
      </c>
      <c r="E11" s="80" t="s">
        <v>57</v>
      </c>
      <c r="F11" s="80" t="s">
        <v>58</v>
      </c>
      <c r="G11" s="80" t="s">
        <v>59</v>
      </c>
      <c r="H11" s="81" t="s">
        <v>60</v>
      </c>
      <c r="I11" s="81" t="s">
        <v>61</v>
      </c>
    </row>
    <row r="12" spans="1:9" ht="32.25" x14ac:dyDescent="0.6">
      <c r="A12" s="82">
        <v>9</v>
      </c>
      <c r="B12" s="82" t="s">
        <v>65</v>
      </c>
      <c r="C12" s="83" t="s">
        <v>89</v>
      </c>
      <c r="D12" s="97" t="s">
        <v>106</v>
      </c>
      <c r="E12" s="82">
        <v>4</v>
      </c>
      <c r="F12" s="82">
        <v>86</v>
      </c>
      <c r="G12" s="82">
        <f>E12*F12</f>
        <v>344</v>
      </c>
      <c r="H12" s="86">
        <v>27.99</v>
      </c>
      <c r="I12" s="86">
        <f>H12*E12</f>
        <v>111.96</v>
      </c>
    </row>
    <row r="13" spans="1:9" ht="32.25" x14ac:dyDescent="0.6">
      <c r="A13" s="82">
        <v>10</v>
      </c>
      <c r="B13" s="82" t="s">
        <v>65</v>
      </c>
      <c r="C13" s="83" t="s">
        <v>90</v>
      </c>
      <c r="D13" s="83" t="s">
        <v>113</v>
      </c>
      <c r="E13" s="82">
        <v>1</v>
      </c>
      <c r="F13" s="82">
        <v>112</v>
      </c>
      <c r="G13" s="82">
        <f t="shared" ref="G13:G14" si="2">E13*F13</f>
        <v>112</v>
      </c>
      <c r="H13" s="86">
        <v>28.53</v>
      </c>
      <c r="I13" s="86">
        <f t="shared" ref="I13:I14" si="3">H13*E13</f>
        <v>28.53</v>
      </c>
    </row>
    <row r="14" spans="1:9" ht="32.25" x14ac:dyDescent="0.6">
      <c r="A14" s="82">
        <v>11</v>
      </c>
      <c r="B14" s="82" t="s">
        <v>65</v>
      </c>
      <c r="C14" s="83" t="s">
        <v>92</v>
      </c>
      <c r="D14" s="98" t="s">
        <v>101</v>
      </c>
      <c r="E14" s="82">
        <v>1</v>
      </c>
      <c r="F14" s="82">
        <v>578</v>
      </c>
      <c r="G14" s="82">
        <f t="shared" si="2"/>
        <v>578</v>
      </c>
      <c r="H14" s="86">
        <v>76.59</v>
      </c>
      <c r="I14" s="86">
        <f t="shared" si="3"/>
        <v>76.59</v>
      </c>
    </row>
    <row r="15" spans="1:9" ht="32.25" x14ac:dyDescent="0.6">
      <c r="A15" s="99" t="s">
        <v>82</v>
      </c>
      <c r="B15" s="99"/>
      <c r="C15" s="99"/>
      <c r="D15" s="99" t="s">
        <v>121</v>
      </c>
      <c r="E15" s="80">
        <f>SUM(E12:E14)</f>
        <v>6</v>
      </c>
      <c r="F15" s="99" t="s">
        <v>94</v>
      </c>
      <c r="G15" s="80">
        <f>SUM(G12:G14)</f>
        <v>1034</v>
      </c>
      <c r="H15" s="100" t="s">
        <v>95</v>
      </c>
      <c r="I15" s="81">
        <f>SUM(I12:I14)</f>
        <v>217.08</v>
      </c>
    </row>
    <row r="16" spans="1:9" ht="32.25" x14ac:dyDescent="0.6">
      <c r="A16" s="76" t="s">
        <v>114</v>
      </c>
      <c r="B16" s="76"/>
      <c r="C16" s="76"/>
      <c r="D16" s="76"/>
      <c r="E16" s="76"/>
      <c r="F16" s="76"/>
      <c r="G16" s="77"/>
      <c r="H16" s="76"/>
      <c r="I16" s="76"/>
    </row>
    <row r="17" spans="1:9" ht="32.25" x14ac:dyDescent="0.6">
      <c r="A17" s="96" t="s">
        <v>53</v>
      </c>
      <c r="B17" s="80" t="s">
        <v>54</v>
      </c>
      <c r="C17" s="80" t="s">
        <v>55</v>
      </c>
      <c r="D17" s="80" t="s">
        <v>88</v>
      </c>
      <c r="E17" s="80" t="s">
        <v>57</v>
      </c>
      <c r="F17" s="80" t="s">
        <v>58</v>
      </c>
      <c r="G17" s="80" t="s">
        <v>59</v>
      </c>
      <c r="H17" s="81" t="s">
        <v>60</v>
      </c>
      <c r="I17" s="81" t="s">
        <v>61</v>
      </c>
    </row>
    <row r="18" spans="1:9" ht="32.25" x14ac:dyDescent="0.6">
      <c r="A18" s="82">
        <v>12</v>
      </c>
      <c r="B18" s="82" t="s">
        <v>73</v>
      </c>
      <c r="C18" s="83" t="s">
        <v>74</v>
      </c>
      <c r="D18" s="83" t="s">
        <v>124</v>
      </c>
      <c r="E18" s="82">
        <v>1</v>
      </c>
      <c r="F18" s="82">
        <v>240</v>
      </c>
      <c r="G18" s="82">
        <f t="shared" ref="G18" si="4">F18*E18</f>
        <v>240</v>
      </c>
      <c r="H18" s="86">
        <v>309</v>
      </c>
      <c r="I18" s="86">
        <f>H18*E18</f>
        <v>309</v>
      </c>
    </row>
    <row r="19" spans="1:9" ht="32.25" x14ac:dyDescent="0.6">
      <c r="A19" s="82">
        <v>13</v>
      </c>
      <c r="B19" s="82" t="s">
        <v>73</v>
      </c>
      <c r="C19" s="83" t="s">
        <v>92</v>
      </c>
      <c r="D19" s="83" t="s">
        <v>125</v>
      </c>
      <c r="E19" s="82">
        <v>1</v>
      </c>
      <c r="F19" s="82">
        <v>69</v>
      </c>
      <c r="G19" s="82">
        <f>F19*E19</f>
        <v>69</v>
      </c>
      <c r="H19" s="86">
        <v>7.19</v>
      </c>
      <c r="I19" s="86">
        <f>H19*E19</f>
        <v>7.19</v>
      </c>
    </row>
    <row r="20" spans="1:9" ht="32.25" x14ac:dyDescent="0.6">
      <c r="A20" s="82">
        <v>14</v>
      </c>
      <c r="B20" s="82" t="s">
        <v>73</v>
      </c>
      <c r="C20" s="83" t="s">
        <v>76</v>
      </c>
      <c r="D20" s="83" t="s">
        <v>77</v>
      </c>
      <c r="E20" s="82">
        <v>1</v>
      </c>
      <c r="F20" s="82">
        <v>75</v>
      </c>
      <c r="G20" s="82">
        <f>F20*E20</f>
        <v>75</v>
      </c>
      <c r="H20" s="86">
        <v>399</v>
      </c>
      <c r="I20" s="86">
        <f t="shared" ref="I20" si="5">H20*E20</f>
        <v>399</v>
      </c>
    </row>
    <row r="21" spans="1:9" ht="32.25" x14ac:dyDescent="0.6">
      <c r="A21" s="87" t="s">
        <v>82</v>
      </c>
      <c r="B21" s="87"/>
      <c r="C21" s="87"/>
      <c r="D21" s="99" t="s">
        <v>122</v>
      </c>
      <c r="E21" s="80">
        <f>SUM(E17:E20)</f>
        <v>3</v>
      </c>
      <c r="F21" s="87" t="s">
        <v>116</v>
      </c>
      <c r="G21" s="88">
        <f>SUM(G18:G20)</f>
        <v>384</v>
      </c>
      <c r="H21" s="89" t="s">
        <v>117</v>
      </c>
      <c r="I21" s="90">
        <f>SUM(I18:I20)</f>
        <v>715.19</v>
      </c>
    </row>
    <row r="22" spans="1:9" s="95" customFormat="1" ht="32.25" x14ac:dyDescent="0.6">
      <c r="A22" s="91"/>
      <c r="B22" s="91"/>
      <c r="C22" s="91"/>
      <c r="D22" s="91"/>
      <c r="E22" s="92"/>
      <c r="F22" s="91"/>
      <c r="G22" s="92"/>
      <c r="H22" s="93"/>
      <c r="I22" s="94"/>
    </row>
    <row r="23" spans="1:9" ht="32.25" x14ac:dyDescent="0.6">
      <c r="A23" s="91"/>
      <c r="B23" s="91"/>
      <c r="C23" s="91"/>
      <c r="D23" s="91"/>
      <c r="E23" s="101"/>
      <c r="F23" s="102" t="s">
        <v>115</v>
      </c>
      <c r="G23" s="101">
        <f>$G$9+$G$15</f>
        <v>1666</v>
      </c>
      <c r="H23" s="103" t="s">
        <v>118</v>
      </c>
      <c r="I23" s="104">
        <f>I15+I9</f>
        <v>382.46000000000004</v>
      </c>
    </row>
    <row r="24" spans="1:9" ht="32.25" x14ac:dyDescent="0.6">
      <c r="A24" s="105"/>
      <c r="B24" s="105"/>
      <c r="C24" s="105"/>
      <c r="D24" s="105"/>
      <c r="E24" s="101"/>
      <c r="F24" s="102" t="s">
        <v>96</v>
      </c>
      <c r="G24" s="101">
        <f>$G$9+$G$21+$G$15</f>
        <v>2050</v>
      </c>
      <c r="H24" s="103" t="s">
        <v>97</v>
      </c>
      <c r="I24" s="104">
        <f>$I$9+$I$21+$I$15</f>
        <v>1097.6500000000001</v>
      </c>
    </row>
    <row r="25" spans="1:9" ht="32.25" x14ac:dyDescent="0.6">
      <c r="A25" s="106"/>
      <c r="B25" s="107"/>
      <c r="C25" s="107"/>
      <c r="D25" s="107"/>
      <c r="E25" s="108"/>
      <c r="F25" s="109" t="s">
        <v>119</v>
      </c>
      <c r="G25" s="110">
        <f>G24*0.002205</f>
        <v>4.5202499999999999</v>
      </c>
      <c r="H25" s="108"/>
      <c r="I25" s="108"/>
    </row>
  </sheetData>
  <mergeCells count="1">
    <mergeCell ref="H1:I1"/>
  </mergeCells>
  <pageMargins left="0.7" right="0.7" top="0.75" bottom="0.75" header="0.3" footer="0.3"/>
  <pageSetup scale="36" fitToHeight="0" orientation="landscape" horizontalDpi="0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"/>
  <sheetViews>
    <sheetView view="pageLayout" zoomScaleNormal="100" workbookViewId="0">
      <selection activeCell="H9" sqref="H9"/>
    </sheetView>
  </sheetViews>
  <sheetFormatPr defaultRowHeight="15.75" x14ac:dyDescent="0.25"/>
  <cols>
    <col min="1" max="1" width="4.625" bestFit="1" customWidth="1"/>
    <col min="2" max="2" width="9.5" bestFit="1" customWidth="1"/>
    <col min="3" max="3" width="4.625" bestFit="1" customWidth="1"/>
    <col min="4" max="4" width="4.625" customWidth="1"/>
    <col min="5" max="5" width="4.875" bestFit="1" customWidth="1"/>
    <col min="6" max="6" width="4.625" bestFit="1" customWidth="1"/>
    <col min="7" max="7" width="4.875" bestFit="1" customWidth="1"/>
    <col min="8" max="10" width="4.625" bestFit="1" customWidth="1"/>
    <col min="11" max="11" width="13.375" bestFit="1" customWidth="1"/>
    <col min="12" max="12" width="4.625" customWidth="1"/>
    <col min="13" max="16" width="4.625" bestFit="1" customWidth="1"/>
    <col min="17" max="17" width="13.125" customWidth="1"/>
    <col min="18" max="18" width="15" customWidth="1"/>
    <col min="19" max="19" width="12.875" customWidth="1"/>
  </cols>
  <sheetData>
    <row r="1" spans="1:16" ht="12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107</v>
      </c>
      <c r="L1" s="4" t="s">
        <v>108</v>
      </c>
      <c r="M1" s="4" t="s">
        <v>10</v>
      </c>
      <c r="N1" s="4" t="s">
        <v>11</v>
      </c>
      <c r="O1" s="4" t="s">
        <v>12</v>
      </c>
      <c r="P1" s="4" t="s">
        <v>13</v>
      </c>
    </row>
    <row r="2" spans="1:16" x14ac:dyDescent="0.25">
      <c r="A2" s="5">
        <v>2</v>
      </c>
      <c r="B2" s="6" t="s">
        <v>15</v>
      </c>
      <c r="C2" s="70">
        <v>15.9</v>
      </c>
      <c r="D2" s="7">
        <v>4</v>
      </c>
      <c r="E2" s="11" t="s">
        <v>16</v>
      </c>
      <c r="F2" s="8">
        <v>2</v>
      </c>
      <c r="G2" s="9">
        <v>855</v>
      </c>
      <c r="H2" s="9">
        <v>1</v>
      </c>
      <c r="I2" s="43">
        <v>53</v>
      </c>
      <c r="J2" s="43">
        <v>1</v>
      </c>
      <c r="K2" s="71" t="s">
        <v>109</v>
      </c>
      <c r="L2" s="71">
        <v>3</v>
      </c>
      <c r="M2" s="10">
        <f>D2+F2+H2+J2+L2</f>
        <v>11</v>
      </c>
      <c r="N2" s="10">
        <f>D2*5+F2*3+H2*4+J2+L2*2</f>
        <v>37</v>
      </c>
      <c r="O2" s="10">
        <f>D2*3+F2*2+H2*2.5+J2+L2</f>
        <v>22.5</v>
      </c>
      <c r="P2" s="111" t="s">
        <v>14</v>
      </c>
    </row>
    <row r="3" spans="1:16" x14ac:dyDescent="0.25">
      <c r="A3" s="5">
        <v>1</v>
      </c>
      <c r="B3" s="6" t="s">
        <v>21</v>
      </c>
      <c r="C3" s="70">
        <v>13.2</v>
      </c>
      <c r="D3" s="7">
        <v>1</v>
      </c>
      <c r="E3" s="11" t="s">
        <v>22</v>
      </c>
      <c r="F3" s="12">
        <v>3</v>
      </c>
      <c r="G3" s="13">
        <v>2165</v>
      </c>
      <c r="H3" s="13">
        <v>4</v>
      </c>
      <c r="I3" s="42">
        <v>31</v>
      </c>
      <c r="J3" s="42">
        <v>4</v>
      </c>
      <c r="K3" s="71" t="s">
        <v>112</v>
      </c>
      <c r="L3" s="72">
        <v>1</v>
      </c>
      <c r="M3" s="10">
        <f>D3+F3+H3+J3+L3</f>
        <v>13</v>
      </c>
      <c r="N3" s="10">
        <f>D3*5+F3*3+H3*4+J3+L3*2</f>
        <v>36</v>
      </c>
      <c r="O3" s="10">
        <f>D3*3+F3*2+H3*2.5+J3+L3</f>
        <v>24</v>
      </c>
      <c r="P3" s="111" t="s">
        <v>14</v>
      </c>
    </row>
    <row r="4" spans="1:16" x14ac:dyDescent="0.25">
      <c r="A4" s="5">
        <v>3</v>
      </c>
      <c r="B4" s="6" t="s">
        <v>19</v>
      </c>
      <c r="C4" s="70">
        <v>13.4</v>
      </c>
      <c r="D4" s="7">
        <v>2</v>
      </c>
      <c r="E4" s="11" t="s">
        <v>20</v>
      </c>
      <c r="F4" s="8">
        <v>4</v>
      </c>
      <c r="G4" s="9">
        <v>880</v>
      </c>
      <c r="H4" s="9">
        <v>2</v>
      </c>
      <c r="I4" s="43">
        <v>51</v>
      </c>
      <c r="J4" s="43">
        <v>2</v>
      </c>
      <c r="K4" s="71" t="s">
        <v>109</v>
      </c>
      <c r="L4" s="71">
        <v>3</v>
      </c>
      <c r="M4" s="10">
        <f>D4+F4+H4+J4+L4</f>
        <v>13</v>
      </c>
      <c r="N4" s="10">
        <f>D4*5+F4*3+H4*4+J4+L4*2</f>
        <v>38</v>
      </c>
      <c r="O4" s="10">
        <f>D4*3+F4*2+H4*2.5+J4+L4</f>
        <v>24</v>
      </c>
      <c r="P4" s="111" t="s">
        <v>14</v>
      </c>
    </row>
    <row r="5" spans="1:16" x14ac:dyDescent="0.25">
      <c r="A5" s="5">
        <v>4</v>
      </c>
      <c r="B5" s="6" t="s">
        <v>17</v>
      </c>
      <c r="C5" s="70">
        <v>15.4</v>
      </c>
      <c r="D5" s="7">
        <v>3</v>
      </c>
      <c r="E5" s="11" t="s">
        <v>18</v>
      </c>
      <c r="F5" s="8">
        <v>1</v>
      </c>
      <c r="G5" s="9">
        <v>1791</v>
      </c>
      <c r="H5" s="9">
        <v>3</v>
      </c>
      <c r="I5" s="43">
        <v>37</v>
      </c>
      <c r="J5" s="43">
        <v>3</v>
      </c>
      <c r="K5" s="71" t="s">
        <v>110</v>
      </c>
      <c r="L5" s="71">
        <v>4</v>
      </c>
      <c r="M5" s="10">
        <f>D5+F5+H5+J5+L5</f>
        <v>14</v>
      </c>
      <c r="N5" s="10">
        <f>D5*5+F5*3+H5*4+J5+L5*2</f>
        <v>41</v>
      </c>
      <c r="O5" s="10">
        <f>D5*3+F5*2+H5*2.5+J5+L5</f>
        <v>25.5</v>
      </c>
      <c r="P5" s="111" t="s">
        <v>14</v>
      </c>
    </row>
    <row r="6" spans="1:16" x14ac:dyDescent="0.25">
      <c r="M6" s="113">
        <f ca="1">NOW()</f>
        <v>41505.931449537034</v>
      </c>
      <c r="N6" s="113"/>
      <c r="O6" s="113"/>
      <c r="P6" s="113"/>
    </row>
  </sheetData>
  <sortState ref="A2:P5">
    <sortCondition ref="O1"/>
  </sortState>
  <mergeCells count="1">
    <mergeCell ref="M6:P6"/>
  </mergeCells>
  <hyperlinks>
    <hyperlink ref="P3" r:id="rId1" display="http://www.ecalc.ch/xcoptercalc.htm?ecalc&amp;lang=en&amp;cooling=2.5&amp;rotornumber=4&amp;weight=1756&amp;calc=auw&amp;elevation=500&amp;airtemp=25&amp;qnh=1013&amp;batteries=lipo_5000mah_-_45/60c&amp;chargestate=0&amp;s=3&amp;p=1&amp;esc=max_40a&amp;motor=turnigy&amp;gear=1&amp;propeller=apc_slowfly_sf&amp;diameter=12&amp;"/>
    <hyperlink ref="P2" r:id="rId2"/>
    <hyperlink ref="P4" r:id="rId3"/>
    <hyperlink ref="P5" r:id="rId4"/>
  </hyperlinks>
  <pageMargins left="0.7" right="0.7" top="0.75" bottom="0.75" header="0.3" footer="0.3"/>
  <pageSetup scale="83" fitToHeight="0" orientation="portrait" horizontalDpi="0" verticalDpi="0"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E6" sqref="E6"/>
    </sheetView>
  </sheetViews>
  <sheetFormatPr defaultRowHeight="15.75" x14ac:dyDescent="0.25"/>
  <cols>
    <col min="1" max="1" width="16.625" bestFit="1" customWidth="1"/>
    <col min="2" max="2" width="9.5" bestFit="1" customWidth="1"/>
    <col min="3" max="4" width="14.375" bestFit="1" customWidth="1"/>
  </cols>
  <sheetData>
    <row r="1" spans="1:4" x14ac:dyDescent="0.25">
      <c r="A1" s="5" t="s">
        <v>23</v>
      </c>
      <c r="B1" s="5" t="s">
        <v>24</v>
      </c>
      <c r="C1" s="5" t="s">
        <v>25</v>
      </c>
      <c r="D1" s="5" t="s">
        <v>26</v>
      </c>
    </row>
    <row r="2" spans="1:4" x14ac:dyDescent="0.25">
      <c r="A2" s="5">
        <v>4</v>
      </c>
      <c r="B2" s="6" t="s">
        <v>15</v>
      </c>
      <c r="C2" s="6" t="s">
        <v>21</v>
      </c>
      <c r="D2" s="6" t="s">
        <v>15</v>
      </c>
    </row>
    <row r="3" spans="1:4" x14ac:dyDescent="0.25">
      <c r="A3" s="5">
        <v>3</v>
      </c>
      <c r="B3" s="6" t="s">
        <v>21</v>
      </c>
      <c r="C3" s="6" t="s">
        <v>15</v>
      </c>
      <c r="D3" s="6" t="s">
        <v>21</v>
      </c>
    </row>
    <row r="4" spans="1:4" x14ac:dyDescent="0.25">
      <c r="A4" s="5">
        <v>2</v>
      </c>
      <c r="B4" s="6" t="s">
        <v>19</v>
      </c>
      <c r="C4" s="6" t="s">
        <v>19</v>
      </c>
      <c r="D4" s="6" t="s">
        <v>19</v>
      </c>
    </row>
    <row r="5" spans="1:4" x14ac:dyDescent="0.25">
      <c r="A5" s="5">
        <v>1</v>
      </c>
      <c r="B5" s="6" t="s">
        <v>17</v>
      </c>
      <c r="C5" s="6" t="s">
        <v>17</v>
      </c>
      <c r="D5" s="6" t="s">
        <v>17</v>
      </c>
    </row>
    <row r="6" spans="1:4" x14ac:dyDescent="0.25">
      <c r="D6" s="112">
        <f ca="1">NOW()</f>
        <v>41505.931449537034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Motors</vt:lpstr>
      <vt:lpstr>BOM Calculator</vt:lpstr>
      <vt:lpstr>Final BOM</vt:lpstr>
      <vt:lpstr>Scorecard</vt:lpstr>
      <vt:lpstr>Summary of Scores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</dc:creator>
  <cp:lastModifiedBy>Tony</cp:lastModifiedBy>
  <cp:lastPrinted>2013-08-18T23:54:22Z</cp:lastPrinted>
  <dcterms:created xsi:type="dcterms:W3CDTF">2013-08-04T21:53:47Z</dcterms:created>
  <dcterms:modified xsi:type="dcterms:W3CDTF">2013-08-21T23:57:58Z</dcterms:modified>
</cp:coreProperties>
</file>