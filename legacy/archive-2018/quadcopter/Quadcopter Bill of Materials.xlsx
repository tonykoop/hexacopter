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ony\Documents\CAD\Quadcopter\"/>
    </mc:Choice>
  </mc:AlternateContent>
  <bookViews>
    <workbookView xWindow="-15" yWindow="4950" windowWidth="7590" windowHeight="2025" tabRatio="614" firstSheet="1" activeTab="3"/>
  </bookViews>
  <sheets>
    <sheet name="Scorecard" sheetId="10" r:id="rId1"/>
    <sheet name="Summary of Scores" sheetId="11" r:id="rId2"/>
    <sheet name="Motors" sheetId="9" r:id="rId3"/>
    <sheet name="ESC" sheetId="8" r:id="rId4"/>
    <sheet name="BOM Calculator" sheetId="5" r:id="rId5"/>
    <sheet name="Custom QRM" sheetId="2" r:id="rId6"/>
    <sheet name="Prop Clearance" sheetId="3" r:id="rId7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5" i="10" l="1"/>
  <c r="O3" i="10"/>
  <c r="O4" i="10"/>
  <c r="O6" i="10"/>
  <c r="O7" i="10"/>
  <c r="O8" i="10"/>
  <c r="O9" i="10"/>
  <c r="O11" i="10"/>
  <c r="O10" i="10"/>
  <c r="O12" i="10"/>
  <c r="O2" i="10"/>
  <c r="N3" i="10"/>
  <c r="N4" i="10"/>
  <c r="N5" i="10"/>
  <c r="N6" i="10"/>
  <c r="N7" i="10"/>
  <c r="N8" i="10"/>
  <c r="N9" i="10"/>
  <c r="N10" i="10"/>
  <c r="N11" i="10"/>
  <c r="N12" i="10"/>
  <c r="N2" i="10"/>
  <c r="M2" i="10"/>
  <c r="M3" i="10"/>
  <c r="M4" i="10"/>
  <c r="M5" i="10"/>
  <c r="M6" i="10"/>
  <c r="M7" i="10"/>
  <c r="M8" i="10"/>
  <c r="M9" i="10"/>
  <c r="M10" i="10"/>
  <c r="M11" i="10"/>
  <c r="M12" i="10"/>
  <c r="P13" i="9"/>
  <c r="I10" i="5"/>
  <c r="I11" i="5"/>
  <c r="G10" i="5"/>
  <c r="G11" i="5"/>
  <c r="E11" i="5"/>
  <c r="G99" i="5"/>
  <c r="G100" i="5"/>
  <c r="G91" i="5"/>
  <c r="G92" i="5"/>
  <c r="G83" i="5"/>
  <c r="G84" i="5"/>
  <c r="G75" i="5"/>
  <c r="G76" i="5"/>
  <c r="G67" i="5"/>
  <c r="G68" i="5"/>
  <c r="G59" i="5"/>
  <c r="G60" i="5"/>
  <c r="G51" i="5"/>
  <c r="G52" i="5"/>
  <c r="G43" i="5"/>
  <c r="G44" i="5"/>
  <c r="G35" i="5"/>
  <c r="G36" i="5"/>
  <c r="G27" i="5"/>
  <c r="G28" i="5"/>
  <c r="G3" i="5"/>
  <c r="G4" i="5"/>
  <c r="G5" i="5"/>
  <c r="G6" i="5"/>
  <c r="G7" i="5"/>
  <c r="G8" i="5"/>
  <c r="G9" i="5"/>
  <c r="G95" i="5"/>
  <c r="G96" i="5"/>
  <c r="G97" i="5"/>
  <c r="G98" i="5"/>
  <c r="G87" i="5"/>
  <c r="G88" i="5"/>
  <c r="G89" i="5"/>
  <c r="G90" i="5"/>
  <c r="G79" i="5"/>
  <c r="G80" i="5"/>
  <c r="G81" i="5"/>
  <c r="G82" i="5"/>
  <c r="G71" i="5"/>
  <c r="G72" i="5"/>
  <c r="G73" i="5"/>
  <c r="G74" i="5"/>
  <c r="G63" i="5"/>
  <c r="G64" i="5"/>
  <c r="G65" i="5"/>
  <c r="G66" i="5"/>
  <c r="G55" i="5"/>
  <c r="G56" i="5"/>
  <c r="G57" i="5"/>
  <c r="G58" i="5"/>
  <c r="G47" i="5"/>
  <c r="G48" i="5"/>
  <c r="G49" i="5"/>
  <c r="G50" i="5"/>
  <c r="G39" i="5"/>
  <c r="G40" i="5"/>
  <c r="G41" i="5"/>
  <c r="G42" i="5"/>
  <c r="G31" i="5"/>
  <c r="G32" i="5"/>
  <c r="G33" i="5"/>
  <c r="G34" i="5"/>
  <c r="G23" i="5"/>
  <c r="G24" i="5"/>
  <c r="G25" i="5"/>
  <c r="G26" i="5"/>
  <c r="G15" i="5"/>
  <c r="G16" i="5"/>
  <c r="G17" i="5"/>
  <c r="G18" i="5"/>
  <c r="G19" i="5"/>
  <c r="G20" i="5"/>
  <c r="I89" i="5"/>
  <c r="I95" i="5"/>
  <c r="I96" i="5"/>
  <c r="I97" i="5"/>
  <c r="I98" i="5"/>
  <c r="I3" i="5"/>
  <c r="I4" i="5"/>
  <c r="I5" i="5"/>
  <c r="I6" i="5"/>
  <c r="I7" i="5"/>
  <c r="I8" i="5"/>
  <c r="I9" i="5"/>
  <c r="I99" i="5"/>
  <c r="I87" i="5"/>
  <c r="I88" i="5"/>
  <c r="I90" i="5"/>
  <c r="I91" i="5"/>
  <c r="I79" i="5"/>
  <c r="I80" i="5"/>
  <c r="I81" i="5"/>
  <c r="I82" i="5"/>
  <c r="I83" i="5"/>
  <c r="I71" i="5"/>
  <c r="I72" i="5"/>
  <c r="I73" i="5"/>
  <c r="I74" i="5"/>
  <c r="I75" i="5"/>
  <c r="I63" i="5"/>
  <c r="I64" i="5"/>
  <c r="I65" i="5"/>
  <c r="I66" i="5"/>
  <c r="I67" i="5"/>
  <c r="I55" i="5"/>
  <c r="I56" i="5"/>
  <c r="I57" i="5"/>
  <c r="I58" i="5"/>
  <c r="I59" i="5"/>
  <c r="I47" i="5"/>
  <c r="I48" i="5"/>
  <c r="I49" i="5"/>
  <c r="I50" i="5"/>
  <c r="I51" i="5"/>
  <c r="I39" i="5"/>
  <c r="I40" i="5"/>
  <c r="I41" i="5"/>
  <c r="I42" i="5"/>
  <c r="I43" i="5"/>
  <c r="I31" i="5"/>
  <c r="I32" i="5"/>
  <c r="I33" i="5"/>
  <c r="I34" i="5"/>
  <c r="I35" i="5"/>
  <c r="H1" i="5"/>
  <c r="I25" i="5"/>
  <c r="I17" i="5"/>
  <c r="I16" i="5"/>
  <c r="I15" i="5"/>
  <c r="I18" i="5"/>
  <c r="I19" i="5"/>
  <c r="I24" i="5"/>
  <c r="I23" i="5"/>
  <c r="I26" i="5"/>
  <c r="I27" i="5"/>
  <c r="G25" i="2"/>
  <c r="I25" i="2"/>
  <c r="I24" i="2"/>
  <c r="G24" i="2"/>
  <c r="B2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D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D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C58" i="3"/>
  <c r="D58" i="3"/>
  <c r="E58" i="3"/>
  <c r="F58" i="3"/>
  <c r="G58" i="3"/>
  <c r="C59" i="3"/>
  <c r="D59" i="3"/>
  <c r="E59" i="3"/>
  <c r="F59" i="3"/>
  <c r="G59" i="3"/>
  <c r="C60" i="3"/>
  <c r="D60" i="3"/>
  <c r="E60" i="3"/>
  <c r="F60" i="3"/>
  <c r="G60" i="3"/>
  <c r="C61" i="3"/>
  <c r="D61" i="3"/>
  <c r="E61" i="3"/>
  <c r="F61" i="3"/>
  <c r="G61" i="3"/>
  <c r="C62" i="3"/>
  <c r="D62" i="3"/>
  <c r="E62" i="3"/>
  <c r="F62" i="3"/>
  <c r="G62" i="3"/>
  <c r="C63" i="3"/>
  <c r="D63" i="3"/>
  <c r="E63" i="3"/>
  <c r="F63" i="3"/>
  <c r="G63" i="3"/>
  <c r="C64" i="3"/>
  <c r="D64" i="3"/>
  <c r="E64" i="3"/>
  <c r="F64" i="3"/>
  <c r="G64" i="3"/>
  <c r="C65" i="3"/>
  <c r="D65" i="3"/>
  <c r="E65" i="3"/>
  <c r="F65" i="3"/>
  <c r="G65" i="3"/>
  <c r="C66" i="3"/>
  <c r="D66" i="3"/>
  <c r="E66" i="3"/>
  <c r="F66" i="3"/>
  <c r="G66" i="3"/>
  <c r="C67" i="3"/>
  <c r="D67" i="3"/>
  <c r="E67" i="3"/>
  <c r="F67" i="3"/>
  <c r="G67" i="3"/>
  <c r="C68" i="3"/>
  <c r="D68" i="3"/>
  <c r="E68" i="3"/>
  <c r="F68" i="3"/>
  <c r="G68" i="3"/>
  <c r="C69" i="3"/>
  <c r="D69" i="3"/>
  <c r="E69" i="3"/>
  <c r="F69" i="3"/>
  <c r="G69" i="3"/>
  <c r="C70" i="3"/>
  <c r="D70" i="3"/>
  <c r="E70" i="3"/>
  <c r="F70" i="3"/>
  <c r="G70" i="3"/>
  <c r="C71" i="3"/>
  <c r="D71" i="3"/>
  <c r="E71" i="3"/>
  <c r="F71" i="3"/>
  <c r="G71" i="3"/>
  <c r="C72" i="3"/>
  <c r="D72" i="3"/>
  <c r="E72" i="3"/>
  <c r="F72" i="3"/>
  <c r="G72" i="3"/>
  <c r="C73" i="3"/>
  <c r="D73" i="3"/>
  <c r="E73" i="3"/>
  <c r="F73" i="3"/>
  <c r="G73" i="3"/>
  <c r="C74" i="3"/>
  <c r="D74" i="3"/>
  <c r="E74" i="3"/>
  <c r="F74" i="3"/>
  <c r="G74" i="3"/>
  <c r="C75" i="3"/>
  <c r="D75" i="3"/>
  <c r="E75" i="3"/>
  <c r="F75" i="3"/>
  <c r="G75" i="3"/>
  <c r="C76" i="3"/>
  <c r="D76" i="3"/>
  <c r="E76" i="3"/>
  <c r="F76" i="3"/>
  <c r="G76" i="3"/>
  <c r="C77" i="3"/>
  <c r="D77" i="3"/>
  <c r="E77" i="3"/>
  <c r="F77" i="3"/>
  <c r="G77" i="3"/>
  <c r="C78" i="3"/>
  <c r="D78" i="3"/>
  <c r="E78" i="3"/>
  <c r="F78" i="3"/>
  <c r="G78" i="3"/>
  <c r="C79" i="3"/>
  <c r="D79" i="3"/>
  <c r="E79" i="3"/>
  <c r="F79" i="3"/>
  <c r="G79" i="3"/>
  <c r="C80" i="3"/>
  <c r="D80" i="3"/>
  <c r="E80" i="3"/>
  <c r="F80" i="3"/>
  <c r="G80" i="3"/>
  <c r="C81" i="3"/>
  <c r="D81" i="3"/>
  <c r="E81" i="3"/>
  <c r="F81" i="3"/>
  <c r="G81" i="3"/>
  <c r="C82" i="3"/>
  <c r="D82" i="3"/>
  <c r="E82" i="3"/>
  <c r="F82" i="3"/>
  <c r="G82" i="3"/>
  <c r="C83" i="3"/>
  <c r="D83" i="3"/>
  <c r="E83" i="3"/>
  <c r="F83" i="3"/>
  <c r="G83" i="3"/>
  <c r="C84" i="3"/>
  <c r="D84" i="3"/>
  <c r="E84" i="3"/>
  <c r="F84" i="3"/>
  <c r="G84" i="3"/>
  <c r="C85" i="3"/>
  <c r="D85" i="3"/>
  <c r="E85" i="3"/>
  <c r="F85" i="3"/>
  <c r="G85" i="3"/>
  <c r="C86" i="3"/>
  <c r="D86" i="3"/>
  <c r="E86" i="3"/>
  <c r="F86" i="3"/>
  <c r="G86" i="3"/>
  <c r="C87" i="3"/>
  <c r="D87" i="3"/>
  <c r="E87" i="3"/>
  <c r="F87" i="3"/>
  <c r="G87" i="3"/>
  <c r="C88" i="3"/>
  <c r="D88" i="3"/>
  <c r="E88" i="3"/>
  <c r="F88" i="3"/>
  <c r="G88" i="3"/>
  <c r="C89" i="3"/>
  <c r="D89" i="3"/>
  <c r="E89" i="3"/>
  <c r="F89" i="3"/>
  <c r="G89" i="3"/>
  <c r="C90" i="3"/>
  <c r="D90" i="3"/>
  <c r="E90" i="3"/>
  <c r="F90" i="3"/>
  <c r="G90" i="3"/>
  <c r="C91" i="3"/>
  <c r="D91" i="3"/>
  <c r="E91" i="3"/>
  <c r="F91" i="3"/>
  <c r="G91" i="3"/>
  <c r="C92" i="3"/>
  <c r="D92" i="3"/>
  <c r="E92" i="3"/>
  <c r="F92" i="3"/>
  <c r="G92" i="3"/>
  <c r="C17" i="3"/>
  <c r="B16" i="3"/>
  <c r="C16" i="3"/>
  <c r="D17" i="3"/>
  <c r="E17" i="3"/>
  <c r="F17" i="3"/>
  <c r="G17" i="3"/>
  <c r="D16" i="3"/>
  <c r="E16" i="3"/>
  <c r="F16" i="3"/>
  <c r="G16" i="3"/>
  <c r="C4" i="3"/>
  <c r="C3" i="3"/>
  <c r="C7" i="3"/>
  <c r="I28" i="2"/>
  <c r="I26" i="2"/>
  <c r="I17" i="2"/>
  <c r="I2" i="2"/>
  <c r="I3" i="2"/>
  <c r="I4" i="2"/>
  <c r="I5" i="2"/>
  <c r="I6" i="2"/>
  <c r="I7" i="2"/>
  <c r="I8" i="2"/>
  <c r="I9" i="2"/>
  <c r="I10" i="2"/>
  <c r="I11" i="2"/>
  <c r="I12" i="2"/>
  <c r="I13" i="2"/>
  <c r="I15" i="2"/>
  <c r="I16" i="2"/>
  <c r="I18" i="2"/>
  <c r="I19" i="2"/>
  <c r="I20" i="2"/>
  <c r="I21" i="2"/>
  <c r="I22" i="2"/>
  <c r="I23" i="2"/>
  <c r="I27" i="2"/>
  <c r="G26" i="2"/>
  <c r="G15" i="2"/>
  <c r="G16" i="2"/>
  <c r="G18" i="2"/>
  <c r="G19" i="2"/>
  <c r="G22" i="2"/>
  <c r="G23" i="2"/>
  <c r="G21" i="2"/>
  <c r="G20" i="2"/>
  <c r="G17" i="2"/>
  <c r="G2" i="2"/>
  <c r="G3" i="2"/>
  <c r="G4" i="2"/>
  <c r="G5" i="2"/>
  <c r="G6" i="2"/>
  <c r="G7" i="2"/>
  <c r="G8" i="2"/>
  <c r="G9" i="2"/>
  <c r="G10" i="2"/>
  <c r="G11" i="2"/>
  <c r="G12" i="2"/>
  <c r="G13" i="2"/>
  <c r="G27" i="2"/>
  <c r="E27" i="2"/>
</calcChain>
</file>

<file path=xl/comments1.xml><?xml version="1.0" encoding="utf-8"?>
<comments xmlns="http://schemas.openxmlformats.org/spreadsheetml/2006/main">
  <authors>
    <author>Tony</author>
  </authors>
  <commentList>
    <comment ref="H7" authorId="0" shapeId="0">
      <text>
        <r>
          <rPr>
            <b/>
            <sz val="9"/>
            <color indexed="81"/>
            <rFont val="Tahoma"/>
            <family val="2"/>
          </rPr>
          <t>Tony:</t>
        </r>
        <r>
          <rPr>
            <sz val="9"/>
            <color indexed="81"/>
            <rFont val="Tahoma"/>
            <family val="2"/>
          </rPr>
          <t xml:space="preserve">
$309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</rPr>
          <t>Tony:</t>
        </r>
        <r>
          <rPr>
            <sz val="9"/>
            <color indexed="81"/>
            <rFont val="Tahoma"/>
            <family val="2"/>
          </rPr>
          <t xml:space="preserve">
$399</t>
        </r>
      </text>
    </comment>
  </commentList>
</comments>
</file>

<file path=xl/sharedStrings.xml><?xml version="1.0" encoding="utf-8"?>
<sst xmlns="http://schemas.openxmlformats.org/spreadsheetml/2006/main" count="640" uniqueCount="237">
  <si>
    <t>PART NAME</t>
  </si>
  <si>
    <t>DESCRIPTION</t>
  </si>
  <si>
    <t>MASS (g)</t>
  </si>
  <si>
    <t>ITEM NO.</t>
  </si>
  <si>
    <t>Control Board</t>
  </si>
  <si>
    <t>KK2.0 Multi-rotor LCD Flight Controller</t>
  </si>
  <si>
    <t>Frame</t>
  </si>
  <si>
    <t>TOTAL PRICE</t>
  </si>
  <si>
    <t>TOTAL MASS (g)</t>
  </si>
  <si>
    <t>Tunigy Plush 6A Speed Controller (8A Burst)</t>
  </si>
  <si>
    <t>TOTALS</t>
  </si>
  <si>
    <t>PRICE EACH</t>
  </si>
  <si>
    <t>Battery</t>
  </si>
  <si>
    <t>Low Voltage Alarm</t>
  </si>
  <si>
    <t>On-Board Lipoly Low Voltage Alarm 2s~3s</t>
  </si>
  <si>
    <t>Receiver</t>
  </si>
  <si>
    <t>QTY.</t>
  </si>
  <si>
    <t>CATEGORY</t>
  </si>
  <si>
    <t>QRM001</t>
  </si>
  <si>
    <t>Bottom Arm</t>
  </si>
  <si>
    <t>QRM002</t>
  </si>
  <si>
    <t>Top Arm</t>
  </si>
  <si>
    <t>QRM003</t>
  </si>
  <si>
    <t>Battery Tray</t>
  </si>
  <si>
    <t>QRM004</t>
  </si>
  <si>
    <t>Bottom Frame Ring</t>
  </si>
  <si>
    <t>Top Frame Ring</t>
  </si>
  <si>
    <t>QRM005</t>
  </si>
  <si>
    <t>QRM006</t>
  </si>
  <si>
    <t>Electronic Cover</t>
  </si>
  <si>
    <t>Electronics</t>
  </si>
  <si>
    <t>Hardware</t>
  </si>
  <si>
    <t>QRM101</t>
  </si>
  <si>
    <t>QRM103</t>
  </si>
  <si>
    <t>15mm Frame Spacer</t>
  </si>
  <si>
    <t>QRM104</t>
  </si>
  <si>
    <t>10mm Threaded Frame Spacer</t>
  </si>
  <si>
    <t>6mm Hex Screw</t>
  </si>
  <si>
    <t>M3X6</t>
  </si>
  <si>
    <t>16mm Hex Screw</t>
  </si>
  <si>
    <t>M3X16</t>
  </si>
  <si>
    <t>M2X6</t>
  </si>
  <si>
    <t>6X3 - Standard Rotating</t>
  </si>
  <si>
    <t>6X3  - Counter Rotating</t>
  </si>
  <si>
    <t>2mm Hex Nut</t>
  </si>
  <si>
    <t>M2 Nylon Lock Nut</t>
  </si>
  <si>
    <t>MASS EACH (g)</t>
  </si>
  <si>
    <t>Propeller - Right</t>
  </si>
  <si>
    <t>Propeller - Left</t>
  </si>
  <si>
    <t>Total Number of Parts:</t>
  </si>
  <si>
    <t>Total Mass:</t>
  </si>
  <si>
    <t>Total Price:</t>
  </si>
  <si>
    <t>Miscellaneous</t>
  </si>
  <si>
    <t>Electrical Tape, Solder, Cable Ties, Etc.</t>
  </si>
  <si>
    <t>Motor</t>
  </si>
  <si>
    <t>Turnigy 1811-2000 Brushless Outrunner</t>
  </si>
  <si>
    <t>ESC</t>
  </si>
  <si>
    <t>Prop Diameter (in)</t>
  </si>
  <si>
    <t>Octocopter Prop Clearance</t>
  </si>
  <si>
    <t>Motor to Motor Distance (mm)</t>
  </si>
  <si>
    <t>Prop Clearance (mm)</t>
  </si>
  <si>
    <t>Side Length (mm)</t>
  </si>
  <si>
    <t>Area (in^)</t>
  </si>
  <si>
    <t>Side Length (in)</t>
  </si>
  <si>
    <t>Unit Area (sq ft)</t>
  </si>
  <si>
    <t>Prop Area (sq ft)</t>
  </si>
  <si>
    <t>Prop to Unit Area Ratio</t>
  </si>
  <si>
    <t>Hexacopter</t>
  </si>
  <si>
    <t>Motor to Motor Distance (in)</t>
  </si>
  <si>
    <t>Prop Clearance (in)</t>
  </si>
  <si>
    <t>Quadcopter</t>
  </si>
  <si>
    <t>PART SPECS</t>
  </si>
  <si>
    <t>PRODUCT NAME</t>
  </si>
  <si>
    <t>Accessories</t>
  </si>
  <si>
    <t>Gimbal</t>
  </si>
  <si>
    <t>Camera</t>
  </si>
  <si>
    <t>Arris CM2000</t>
  </si>
  <si>
    <t>Gopro Hero 3 - Black Edition</t>
  </si>
  <si>
    <t>Tunigy Plush 40A Speed Controller (55A Burst)</t>
  </si>
  <si>
    <t>6mm Frame Spacer</t>
  </si>
  <si>
    <t>Prop Saver &amp; O-Ring</t>
  </si>
  <si>
    <t>Nose Cone</t>
  </si>
  <si>
    <t>Prop Adapter A</t>
  </si>
  <si>
    <t>Prop Adapter B</t>
  </si>
  <si>
    <t>Power Distribution Board</t>
  </si>
  <si>
    <t>Hub</t>
  </si>
  <si>
    <t>ZIPPY Flightmax 800mAh 2S1P 20C</t>
  </si>
  <si>
    <t>Spektrum AR400 DSMX 4 Channel Receiver</t>
  </si>
  <si>
    <t>Landing Gear</t>
  </si>
  <si>
    <t>DETERMINED PARTS</t>
  </si>
  <si>
    <t>Determined Parts:</t>
  </si>
  <si>
    <t>Determined Mass:</t>
  </si>
  <si>
    <t>Determined Price:</t>
  </si>
  <si>
    <t>Elective Price:</t>
  </si>
  <si>
    <t>Elective Mass:</t>
  </si>
  <si>
    <t>Aerodrive SK3-3530-1150</t>
  </si>
  <si>
    <t>Aerodrive SK3-3536-1050</t>
  </si>
  <si>
    <t>Tunigy Plush 25A Speed Controller (35A Burst)</t>
  </si>
  <si>
    <t>ATG Carbon Fiber Landing Skid Kit</t>
  </si>
  <si>
    <t>Turnigy 9X 2.4GHz 8Ch Receiver (V2)</t>
  </si>
  <si>
    <t>Turnigy nano-tech 5000mah 3S1P 45C</t>
  </si>
  <si>
    <t>Turnigy Talon Quadcopter V2.0 (without landing feet)</t>
  </si>
  <si>
    <t>Multistar 2216-800</t>
  </si>
  <si>
    <t>Multistar 3525-650</t>
  </si>
  <si>
    <t>Multistar 3525-850</t>
  </si>
  <si>
    <t>Multistar 4822-390</t>
  </si>
  <si>
    <t>Multistar 4822-490</t>
  </si>
  <si>
    <t>Multistar 4822-570</t>
  </si>
  <si>
    <t>Multistar 4822-690</t>
  </si>
  <si>
    <t>Multistar 4225-390</t>
  </si>
  <si>
    <t>Multistar 4225-610</t>
  </si>
  <si>
    <t>Multistar 2216-800 (2-3 cell)</t>
  </si>
  <si>
    <t>Multistar 3525-650 (4 cells)</t>
  </si>
  <si>
    <t>Multistar 3525-850 (3 cells)</t>
  </si>
  <si>
    <t>Multistar 4822-390 (6 cells)</t>
  </si>
  <si>
    <t>Multistar 4822-490 (4-6 cells)</t>
  </si>
  <si>
    <t>Multistar 4822-570 (4 cells)</t>
  </si>
  <si>
    <t>Multistar 4822-690 (4 cells)</t>
  </si>
  <si>
    <t>Multistar 4225-390 (6 cells)</t>
  </si>
  <si>
    <t>Multistar 4225-610 (4 cells)</t>
  </si>
  <si>
    <t>Turnigy nano-tech 5000mah 6S1P 45-90C</t>
  </si>
  <si>
    <t>Turnigy nano-tech 5000mah 4S1P 65-130C</t>
  </si>
  <si>
    <t>Turnigy nano-tech 5000mah 3S1P 65-130C</t>
  </si>
  <si>
    <t>Turnigy nano-tech 5000mah 4S1P 45-90C</t>
  </si>
  <si>
    <t>ELECTIVE PARTS</t>
  </si>
  <si>
    <t>Total Pounds:</t>
  </si>
  <si>
    <t>Propellers</t>
  </si>
  <si>
    <t>12x6 Carbon Fiber Propellers</t>
  </si>
  <si>
    <t>http://www.hobbyking.com/hobbyking/store/__41152__TURNIGY_Plush_40amp_Speed_Controller_USA_warehouse_.html</t>
  </si>
  <si>
    <t>http://www.hobbyking.com/hobbyking/store/__2164__TURNIGY_Plush_30amp_Speed_Controller.html?strSearch=Turnigy%20plush</t>
  </si>
  <si>
    <t>http://www.hobbyking.com/hobbyking/store/__36903__TURNIGY_Plush_25amp_Speed_Controller_USA_Warehouse_.html</t>
  </si>
  <si>
    <t>http://www.hobbyking.com/hobbyking/store/__30683__TURNIGY_Plush_18amp_Speed_Controller_US_Warehouse_.html</t>
  </si>
  <si>
    <t>LINK</t>
  </si>
  <si>
    <t>2-4</t>
  </si>
  <si>
    <t>40 Amp Brushless Motor ESC</t>
  </si>
  <si>
    <t>HURC</t>
  </si>
  <si>
    <t>2-6</t>
  </si>
  <si>
    <t>Plush 40 Amp ESC</t>
  </si>
  <si>
    <t>Turnigy</t>
  </si>
  <si>
    <t>http://www.hobbyking.com/hobbyking/store/__26499__Turnigy_dlux_30A_SBEC_Brushless_Speed_Controller_w_Data_Logging_2s_4s_USA_Warehouse_.html</t>
  </si>
  <si>
    <t>dlux 30Amp SBEC</t>
  </si>
  <si>
    <t>30 Amp Brushless Motor ESC</t>
  </si>
  <si>
    <t>Plush 30 Amp ESC</t>
  </si>
  <si>
    <t>http://www.hobbyking.com/hobbyking/store/__31996__Turnigy_AE_25A_Brushless_ESC_USA_Warehouse_.html</t>
  </si>
  <si>
    <t>AE-25A ESC</t>
  </si>
  <si>
    <t>http://www.hobbyking.com/hobbyking/store/__33296__TURNIGY_Basic_25A_v3_1_Speed_Controller_USA_Warehouse_.html</t>
  </si>
  <si>
    <t>Basic 25 Amp v3.1 ESC</t>
  </si>
  <si>
    <t>Plush 25 Amp ESC</t>
  </si>
  <si>
    <t>22 Amp Brushless Motor ESC</t>
  </si>
  <si>
    <t>?</t>
  </si>
  <si>
    <t>18 Amp Brushless Motor ESC</t>
  </si>
  <si>
    <t>Plush 18 Amp ESC</t>
  </si>
  <si>
    <t>PRICE</t>
  </si>
  <si>
    <t>Lipo Cells</t>
  </si>
  <si>
    <t>Burst Current (A)</t>
  </si>
  <si>
    <t>Continuous Current (A)</t>
  </si>
  <si>
    <t>MODEL</t>
  </si>
  <si>
    <t>BRAND</t>
  </si>
  <si>
    <t>Link</t>
  </si>
  <si>
    <t>4</t>
  </si>
  <si>
    <t>4225-610</t>
  </si>
  <si>
    <t>Multistar</t>
  </si>
  <si>
    <t>6</t>
  </si>
  <si>
    <t>4225-390</t>
  </si>
  <si>
    <t>4822-690</t>
  </si>
  <si>
    <t>4822-570</t>
  </si>
  <si>
    <t>20-45</t>
  </si>
  <si>
    <t>4-6</t>
  </si>
  <si>
    <t>4822-490</t>
  </si>
  <si>
    <t>4822-390</t>
  </si>
  <si>
    <t>3</t>
  </si>
  <si>
    <t>3525-850</t>
  </si>
  <si>
    <t>3525-650</t>
  </si>
  <si>
    <t>12?</t>
  </si>
  <si>
    <t>2-3</t>
  </si>
  <si>
    <t>2216-800</t>
  </si>
  <si>
    <t>3-4</t>
  </si>
  <si>
    <t>3536-1050</t>
  </si>
  <si>
    <t>Aerodrive SK3</t>
  </si>
  <si>
    <t>3530-1150</t>
  </si>
  <si>
    <t>Price (US$)</t>
  </si>
  <si>
    <t>Recommended ESC (Amp Rating)</t>
  </si>
  <si>
    <t>Mass (grams)</t>
  </si>
  <si>
    <t>Case Length (mm)</t>
  </si>
  <si>
    <t>Diameter (mm)</t>
  </si>
  <si>
    <t>Shaft Size (mm)</t>
  </si>
  <si>
    <t>Number of Poles</t>
  </si>
  <si>
    <t>Internal Resistance (ohm)</t>
  </si>
  <si>
    <t>Max Current (Amps)</t>
  </si>
  <si>
    <t>Operating Current (Amps)</t>
  </si>
  <si>
    <t>Max Watts</t>
  </si>
  <si>
    <t>No Load Current (Amps)</t>
  </si>
  <si>
    <t>KV (rpm/v)</t>
  </si>
  <si>
    <t>Model</t>
  </si>
  <si>
    <t>Line</t>
  </si>
  <si>
    <t>Brand</t>
  </si>
  <si>
    <t>Option</t>
  </si>
  <si>
    <t>No Weight</t>
  </si>
  <si>
    <t>1756</t>
  </si>
  <si>
    <t>12.7</t>
  </si>
  <si>
    <t>1664</t>
  </si>
  <si>
    <t>13.8</t>
  </si>
  <si>
    <t>1910</t>
  </si>
  <si>
    <t>16.2</t>
  </si>
  <si>
    <t>1798</t>
  </si>
  <si>
    <t>16</t>
  </si>
  <si>
    <t>1936</t>
  </si>
  <si>
    <t>11.3</t>
  </si>
  <si>
    <t>1946</t>
  </si>
  <si>
    <t>14</t>
  </si>
  <si>
    <t>1716</t>
  </si>
  <si>
    <t>13.1</t>
  </si>
  <si>
    <t>1958</t>
  </si>
  <si>
    <t>14.4</t>
  </si>
  <si>
    <t>2191</t>
  </si>
  <si>
    <t>19.9</t>
  </si>
  <si>
    <t>2239</t>
  </si>
  <si>
    <t>19.2</t>
  </si>
  <si>
    <t>ecalc Link</t>
  </si>
  <si>
    <t>Total Score (higher is better)</t>
  </si>
  <si>
    <t>Price</t>
  </si>
  <si>
    <t>Total Price($US)</t>
  </si>
  <si>
    <t>Throttle At Hover Score</t>
  </si>
  <si>
    <t>Throttle at Hover (%)</t>
  </si>
  <si>
    <t>Additional Payload Score</t>
  </si>
  <si>
    <t>Additional Payload (grams)</t>
  </si>
  <si>
    <t>Weight Score</t>
  </si>
  <si>
    <t>Weight (grams)</t>
  </si>
  <si>
    <t>Hover Score</t>
  </si>
  <si>
    <t>Hover Flight Time (minutes)</t>
  </si>
  <si>
    <t>Weighted Total Score Option 1</t>
  </si>
  <si>
    <t>Weighted Total Score Option 2</t>
  </si>
  <si>
    <t>Weight Option 1</t>
  </si>
  <si>
    <t>Weight Option 2</t>
  </si>
  <si>
    <t>Rank Worst to Best</t>
  </si>
  <si>
    <t>Motor Model</t>
  </si>
  <si>
    <t>Elective BOM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</si>
</sst>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&quot;$&quot;#,##0.00"/>
    <numFmt numFmtId="165" formatCode="[$-F800]dddd\,\ mmmm\ dd\,\ yyyy"/>
    <numFmt numFmtId="166" formatCode="0.0"/>
    <numFmt numFmtId="167" formatCode="0.000"/>
  </numFmts>
  <fonts count="2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0"/>
      <name val="Verdana"/>
      <family val="2"/>
    </font>
    <font>
      <sz val="12"/>
      <color theme="1"/>
      <name val="Verdana"/>
      <family val="2"/>
    </font>
    <font>
      <b/>
      <sz val="24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24"/>
      <name val="Arial"/>
      <family val="2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2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/>
    <xf numFmtId="164" fontId="0" fillId="0" borderId="0" xfId="0" applyNumberFormat="1"/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0" xfId="0" applyFont="1"/>
    <xf numFmtId="0" fontId="7" fillId="2" borderId="0" xfId="0" applyFont="1" applyFill="1" applyAlignment="1">
      <alignment horizontal="right"/>
    </xf>
    <xf numFmtId="0" fontId="9" fillId="2" borderId="1" xfId="0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164" fontId="12" fillId="0" borderId="1" xfId="0" applyNumberFormat="1" applyFont="1" applyBorder="1"/>
    <xf numFmtId="164" fontId="11" fillId="0" borderId="1" xfId="0" applyNumberFormat="1" applyFont="1" applyBorder="1"/>
    <xf numFmtId="0" fontId="9" fillId="2" borderId="1" xfId="0" applyFont="1" applyFill="1" applyBorder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5" fontId="6" fillId="0" borderId="0" xfId="0" applyNumberFormat="1" applyFont="1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9" fontId="0" fillId="0" borderId="0" xfId="17" applyFont="1"/>
    <xf numFmtId="0" fontId="0" fillId="0" borderId="0" xfId="0" applyAlignment="1">
      <alignment textRotation="90"/>
    </xf>
    <xf numFmtId="1" fontId="0" fillId="0" borderId="0" xfId="0" applyNumberFormat="1" applyAlignment="1">
      <alignment textRotation="90"/>
    </xf>
    <xf numFmtId="2" fontId="0" fillId="0" borderId="0" xfId="0" applyNumberFormat="1" applyAlignment="1">
      <alignment textRotation="90"/>
    </xf>
    <xf numFmtId="9" fontId="0" fillId="0" borderId="0" xfId="17" applyFont="1" applyAlignment="1">
      <alignment textRotation="90"/>
    </xf>
    <xf numFmtId="0" fontId="1" fillId="0" borderId="0" xfId="0" applyFont="1"/>
    <xf numFmtId="0" fontId="2" fillId="0" borderId="0" xfId="18"/>
    <xf numFmtId="0" fontId="1" fillId="0" borderId="0" xfId="0" applyFont="1" applyAlignment="1">
      <alignment textRotation="90"/>
    </xf>
    <xf numFmtId="1" fontId="1" fillId="0" borderId="0" xfId="0" applyNumberFormat="1" applyFont="1" applyAlignment="1">
      <alignment textRotation="90"/>
    </xf>
    <xf numFmtId="2" fontId="1" fillId="0" borderId="0" xfId="0" applyNumberFormat="1" applyFont="1" applyAlignment="1">
      <alignment textRotation="90"/>
    </xf>
    <xf numFmtId="9" fontId="1" fillId="0" borderId="0" xfId="17" applyFont="1" applyAlignment="1">
      <alignment textRotation="90"/>
    </xf>
    <xf numFmtId="1" fontId="1" fillId="0" borderId="0" xfId="0" applyNumberFormat="1" applyFont="1"/>
    <xf numFmtId="2" fontId="1" fillId="0" borderId="0" xfId="0" applyNumberFormat="1" applyFont="1"/>
    <xf numFmtId="9" fontId="1" fillId="0" borderId="0" xfId="17" applyFont="1"/>
    <xf numFmtId="0" fontId="16" fillId="0" borderId="0" xfId="0" applyFont="1"/>
    <xf numFmtId="0" fontId="17" fillId="2" borderId="1" xfId="0" applyFont="1" applyFill="1" applyBorder="1" applyAlignment="1">
      <alignment horizontal="center"/>
    </xf>
    <xf numFmtId="164" fontId="17" fillId="2" borderId="1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8" fillId="0" borderId="1" xfId="0" applyFont="1" applyBorder="1" applyAlignment="1">
      <alignment horizontal="center"/>
    </xf>
    <xf numFmtId="164" fontId="18" fillId="0" borderId="1" xfId="0" applyNumberFormat="1" applyFont="1" applyBorder="1"/>
    <xf numFmtId="164" fontId="16" fillId="0" borderId="1" xfId="0" applyNumberFormat="1" applyFont="1" applyBorder="1"/>
    <xf numFmtId="0" fontId="17" fillId="2" borderId="1" xfId="0" applyFont="1" applyFill="1" applyBorder="1" applyAlignment="1">
      <alignment horizontal="right"/>
    </xf>
    <xf numFmtId="164" fontId="17" fillId="2" borderId="1" xfId="0" applyNumberFormat="1" applyFont="1" applyFill="1" applyBorder="1" applyAlignment="1">
      <alignment horizontal="right"/>
    </xf>
    <xf numFmtId="0" fontId="16" fillId="0" borderId="0" xfId="0" applyFont="1" applyBorder="1"/>
    <xf numFmtId="0" fontId="17" fillId="2" borderId="2" xfId="0" applyFont="1" applyFill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2" borderId="0" xfId="0" applyFont="1" applyFill="1" applyBorder="1" applyAlignment="1">
      <alignment horizontal="right"/>
    </xf>
    <xf numFmtId="0" fontId="17" fillId="2" borderId="0" xfId="0" applyFont="1" applyFill="1" applyBorder="1" applyAlignment="1">
      <alignment horizontal="center"/>
    </xf>
    <xf numFmtId="164" fontId="17" fillId="2" borderId="0" xfId="0" applyNumberFormat="1" applyFont="1" applyFill="1" applyBorder="1" applyAlignment="1">
      <alignment horizontal="right"/>
    </xf>
    <xf numFmtId="164" fontId="17" fillId="2" borderId="0" xfId="0" applyNumberFormat="1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2" borderId="0" xfId="0" applyFont="1" applyFill="1"/>
    <xf numFmtId="0" fontId="17" fillId="2" borderId="0" xfId="0" applyFont="1" applyFill="1" applyAlignment="1">
      <alignment horizontal="right"/>
    </xf>
    <xf numFmtId="2" fontId="17" fillId="2" borderId="0" xfId="0" applyNumberFormat="1" applyFont="1" applyFill="1" applyAlignment="1">
      <alignment horizontal="center"/>
    </xf>
    <xf numFmtId="0" fontId="17" fillId="3" borderId="0" xfId="0" applyFont="1" applyFill="1" applyBorder="1" applyAlignment="1">
      <alignment horizontal="right"/>
    </xf>
    <xf numFmtId="0" fontId="17" fillId="3" borderId="0" xfId="0" applyFont="1" applyFill="1" applyBorder="1" applyAlignment="1">
      <alignment horizontal="center"/>
    </xf>
    <xf numFmtId="0" fontId="17" fillId="3" borderId="0" xfId="0" applyFont="1" applyFill="1" applyBorder="1"/>
    <xf numFmtId="0" fontId="17" fillId="3" borderId="0" xfId="0" applyFont="1" applyFill="1"/>
    <xf numFmtId="49" fontId="0" fillId="0" borderId="0" xfId="0" applyNumberFormat="1"/>
    <xf numFmtId="0" fontId="5" fillId="2" borderId="0" xfId="0" applyFont="1" applyFill="1" applyAlignment="1">
      <alignment horizontal="left" textRotation="90"/>
    </xf>
    <xf numFmtId="0" fontId="19" fillId="0" borderId="0" xfId="0" applyFont="1"/>
    <xf numFmtId="164" fontId="20" fillId="0" borderId="4" xfId="0" applyNumberFormat="1" applyFont="1" applyBorder="1" applyAlignment="1">
      <alignment vertical="center"/>
    </xf>
    <xf numFmtId="1" fontId="20" fillId="0" borderId="4" xfId="0" applyNumberFormat="1" applyFont="1" applyBorder="1" applyAlignment="1">
      <alignment vertical="center"/>
    </xf>
    <xf numFmtId="49" fontId="20" fillId="0" borderId="4" xfId="0" applyNumberFormat="1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1" fillId="0" borderId="4" xfId="0" applyFont="1" applyBorder="1" applyAlignment="1">
      <alignment horizontal="left" vertical="center" wrapText="1"/>
    </xf>
    <xf numFmtId="0" fontId="19" fillId="0" borderId="0" xfId="0" applyFont="1" applyAlignment="1">
      <alignment textRotation="90"/>
    </xf>
    <xf numFmtId="44" fontId="22" fillId="2" borderId="5" xfId="0" applyNumberFormat="1" applyFont="1" applyFill="1" applyBorder="1" applyAlignment="1">
      <alignment horizontal="center" textRotation="45"/>
    </xf>
    <xf numFmtId="0" fontId="22" fillId="2" borderId="5" xfId="0" applyFont="1" applyFill="1" applyBorder="1" applyAlignment="1">
      <alignment horizontal="center" textRotation="45"/>
    </xf>
    <xf numFmtId="49" fontId="22" fillId="2" borderId="5" xfId="0" applyNumberFormat="1" applyFont="1" applyFill="1" applyBorder="1" applyAlignment="1">
      <alignment horizontal="center" textRotation="45"/>
    </xf>
    <xf numFmtId="0" fontId="22" fillId="2" borderId="5" xfId="0" applyFont="1" applyFill="1" applyBorder="1" applyAlignment="1">
      <alignment horizontal="left" textRotation="45" readingOrder="1"/>
    </xf>
    <xf numFmtId="167" fontId="0" fillId="0" borderId="0" xfId="0" applyNumberFormat="1"/>
    <xf numFmtId="0" fontId="0" fillId="0" borderId="0" xfId="0" applyAlignment="1">
      <alignment horizontal="left" readingOrder="1"/>
    </xf>
    <xf numFmtId="0" fontId="0" fillId="0" borderId="0" xfId="0" applyFont="1" applyAlignment="1">
      <alignment vertical="center"/>
    </xf>
    <xf numFmtId="167" fontId="0" fillId="0" borderId="0" xfId="0" applyNumberFormat="1" applyFont="1" applyAlignment="1">
      <alignment vertical="center"/>
    </xf>
    <xf numFmtId="22" fontId="0" fillId="0" borderId="0" xfId="0" applyNumberFormat="1" applyFont="1" applyAlignment="1">
      <alignment horizontal="left" vertical="center" readingOrder="1"/>
    </xf>
    <xf numFmtId="49" fontId="0" fillId="0" borderId="0" xfId="0" applyNumberFormat="1" applyFont="1" applyAlignment="1">
      <alignment vertical="center"/>
    </xf>
    <xf numFmtId="22" fontId="0" fillId="0" borderId="0" xfId="0" applyNumberFormat="1" applyFont="1" applyAlignment="1">
      <alignment vertical="center"/>
    </xf>
    <xf numFmtId="0" fontId="2" fillId="0" borderId="1" xfId="18" applyFont="1" applyBorder="1" applyAlignment="1">
      <alignment horizontal="center" vertical="center"/>
    </xf>
    <xf numFmtId="44" fontId="0" fillId="0" borderId="1" xfId="0" applyNumberFormat="1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7" fontId="0" fillId="0" borderId="1" xfId="0" applyNumberFormat="1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readingOrder="1"/>
    </xf>
    <xf numFmtId="49" fontId="0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18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textRotation="90"/>
    </xf>
    <xf numFmtId="1" fontId="5" fillId="2" borderId="0" xfId="0" applyNumberFormat="1" applyFont="1" applyFill="1" applyBorder="1" applyAlignment="1">
      <alignment horizontal="center" textRotation="45" readingOrder="1"/>
    </xf>
    <xf numFmtId="1" fontId="5" fillId="2" borderId="7" xfId="0" applyNumberFormat="1" applyFont="1" applyFill="1" applyBorder="1" applyAlignment="1">
      <alignment horizontal="center" textRotation="45" readingOrder="1"/>
    </xf>
    <xf numFmtId="0" fontId="5" fillId="2" borderId="7" xfId="0" applyFont="1" applyFill="1" applyBorder="1" applyAlignment="1">
      <alignment horizontal="center" textRotation="45" readingOrder="1"/>
    </xf>
    <xf numFmtId="167" fontId="5" fillId="2" borderId="7" xfId="0" applyNumberFormat="1" applyFont="1" applyFill="1" applyBorder="1" applyAlignment="1">
      <alignment horizontal="center" textRotation="45" readingOrder="1"/>
    </xf>
    <xf numFmtId="49" fontId="5" fillId="2" borderId="7" xfId="0" applyNumberFormat="1" applyFont="1" applyFill="1" applyBorder="1" applyAlignment="1">
      <alignment horizontal="center" textRotation="45" readingOrder="1"/>
    </xf>
    <xf numFmtId="0" fontId="5" fillId="2" borderId="5" xfId="0" applyFont="1" applyFill="1" applyBorder="1" applyAlignment="1">
      <alignment horizontal="center" textRotation="45" readingOrder="1"/>
    </xf>
    <xf numFmtId="2" fontId="0" fillId="4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2" fontId="0" fillId="6" borderId="1" xfId="0" applyNumberFormat="1" applyFont="1" applyFill="1" applyBorder="1" applyAlignment="1">
      <alignment horizontal="center" vertical="center"/>
    </xf>
    <xf numFmtId="0" fontId="0" fillId="7" borderId="1" xfId="0" applyNumberFormat="1" applyFont="1" applyFill="1" applyBorder="1" applyAlignment="1">
      <alignment horizontal="center" vertical="center"/>
    </xf>
    <xf numFmtId="2" fontId="0" fillId="7" borderId="1" xfId="0" applyNumberFormat="1" applyFont="1" applyFill="1" applyBorder="1" applyAlignment="1">
      <alignment horizontal="center" vertical="center"/>
    </xf>
    <xf numFmtId="2" fontId="0" fillId="4" borderId="1" xfId="0" applyNumberFormat="1" applyFont="1" applyFill="1" applyBorder="1" applyAlignment="1">
      <alignment horizontal="center" vertical="center" readingOrder="1"/>
    </xf>
    <xf numFmtId="1" fontId="0" fillId="5" borderId="1" xfId="0" applyNumberFormat="1" applyFont="1" applyFill="1" applyBorder="1" applyAlignment="1">
      <alignment horizontal="center" vertical="center" readingOrder="1"/>
    </xf>
    <xf numFmtId="1" fontId="0" fillId="6" borderId="1" xfId="0" applyNumberFormat="1" applyFont="1" applyFill="1" applyBorder="1" applyAlignment="1">
      <alignment horizontal="center" vertical="center" readingOrder="1"/>
    </xf>
    <xf numFmtId="0" fontId="0" fillId="6" borderId="1" xfId="0" applyNumberFormat="1" applyFont="1" applyFill="1" applyBorder="1" applyAlignment="1">
      <alignment horizontal="center" vertical="center"/>
    </xf>
    <xf numFmtId="167" fontId="5" fillId="2" borderId="5" xfId="0" applyNumberFormat="1" applyFont="1" applyFill="1" applyBorder="1" applyAlignment="1">
      <alignment horizontal="center" textRotation="45" readingOrder="1"/>
    </xf>
    <xf numFmtId="1" fontId="0" fillId="0" borderId="1" xfId="0" applyNumberFormat="1" applyBorder="1"/>
    <xf numFmtId="0" fontId="0" fillId="0" borderId="1" xfId="0" applyBorder="1"/>
    <xf numFmtId="44" fontId="0" fillId="8" borderId="1" xfId="0" applyNumberFormat="1" applyFont="1" applyFill="1" applyBorder="1" applyAlignment="1">
      <alignment horizontal="center" vertical="center" readingOrder="1"/>
    </xf>
    <xf numFmtId="1" fontId="0" fillId="8" borderId="1" xfId="0" applyNumberFormat="1" applyFont="1" applyFill="1" applyBorder="1" applyAlignment="1">
      <alignment horizontal="center" vertical="center"/>
    </xf>
    <xf numFmtId="44" fontId="0" fillId="8" borderId="1" xfId="0" applyNumberFormat="1" applyFill="1" applyBorder="1" applyAlignment="1">
      <alignment horizontal="center"/>
    </xf>
    <xf numFmtId="22" fontId="0" fillId="0" borderId="6" xfId="0" applyNumberFormat="1" applyFont="1" applyBorder="1" applyAlignment="1">
      <alignment horizontal="right" vertical="center"/>
    </xf>
    <xf numFmtId="44" fontId="0" fillId="0" borderId="6" xfId="0" applyNumberFormat="1" applyFont="1" applyBorder="1" applyAlignment="1">
      <alignment horizontal="right" vertical="center"/>
    </xf>
    <xf numFmtId="22" fontId="16" fillId="0" borderId="3" xfId="0" applyNumberFormat="1" applyFont="1" applyBorder="1" applyAlignment="1">
      <alignment horizontal="center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8" builtinId="8"/>
    <cellStyle name="Normal" xfId="0" builtinId="0"/>
    <cellStyle name="Percent" xfId="17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'Prop Clearance'!$A$14:$A$15</c:f>
              <c:strCache>
                <c:ptCount val="2"/>
                <c:pt idx="0">
                  <c:v>Hexacopter</c:v>
                </c:pt>
                <c:pt idx="1">
                  <c:v>Prop Diameter (in)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'Prop Clearance'!$A$16:$A$92</c:f>
              <c:numCache>
                <c:formatCode>General</c:formatCode>
                <c:ptCount val="7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</c:numCache>
            </c:numRef>
          </c:val>
        </c:ser>
        <c:ser>
          <c:idx val="1"/>
          <c:order val="1"/>
          <c:tx>
            <c:strRef>
              <c:f>'Prop Clearance'!$B$14:$B$15</c:f>
              <c:strCache>
                <c:ptCount val="2"/>
                <c:pt idx="0">
                  <c:v>Hexacopter</c:v>
                </c:pt>
                <c:pt idx="1">
                  <c:v>Motor to Motor Distance (in)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'Prop Clearance'!$B$16:$B$92</c:f>
              <c:numCache>
                <c:formatCode>General</c:formatCode>
                <c:ptCount val="7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 formatCode="0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 formatCode="0">
                  <c:v>14</c:v>
                </c:pt>
                <c:pt idx="25" formatCode="0">
                  <c:v>15</c:v>
                </c:pt>
                <c:pt idx="26" formatCode="0">
                  <c:v>16</c:v>
                </c:pt>
                <c:pt idx="27" formatCode="0">
                  <c:v>17</c:v>
                </c:pt>
                <c:pt idx="28" formatCode="0">
                  <c:v>18</c:v>
                </c:pt>
                <c:pt idx="29" formatCode="0">
                  <c:v>19</c:v>
                </c:pt>
                <c:pt idx="30" formatCode="0">
                  <c:v>20</c:v>
                </c:pt>
                <c:pt idx="31" formatCode="0">
                  <c:v>21</c:v>
                </c:pt>
                <c:pt idx="32" formatCode="0">
                  <c:v>22</c:v>
                </c:pt>
                <c:pt idx="33" formatCode="0">
                  <c:v>23</c:v>
                </c:pt>
                <c:pt idx="34" formatCode="0">
                  <c:v>24</c:v>
                </c:pt>
                <c:pt idx="35" formatCode="0">
                  <c:v>25</c:v>
                </c:pt>
                <c:pt idx="36" formatCode="0">
                  <c:v>26</c:v>
                </c:pt>
                <c:pt idx="37" formatCode="0">
                  <c:v>27</c:v>
                </c:pt>
                <c:pt idx="38" formatCode="0">
                  <c:v>28</c:v>
                </c:pt>
                <c:pt idx="39" formatCode="0">
                  <c:v>16</c:v>
                </c:pt>
                <c:pt idx="40">
                  <c:v>17</c:v>
                </c:pt>
                <c:pt idx="41" formatCode="0">
                  <c:v>18</c:v>
                </c:pt>
                <c:pt idx="42">
                  <c:v>19</c:v>
                </c:pt>
                <c:pt idx="43" formatCode="0">
                  <c:v>20</c:v>
                </c:pt>
                <c:pt idx="44">
                  <c:v>21</c:v>
                </c:pt>
                <c:pt idx="45" formatCode="0">
                  <c:v>22</c:v>
                </c:pt>
                <c:pt idx="46">
                  <c:v>23</c:v>
                </c:pt>
                <c:pt idx="47" formatCode="0">
                  <c:v>24</c:v>
                </c:pt>
                <c:pt idx="48">
                  <c:v>25</c:v>
                </c:pt>
                <c:pt idx="49" formatCode="0">
                  <c:v>26</c:v>
                </c:pt>
                <c:pt idx="50">
                  <c:v>27</c:v>
                </c:pt>
                <c:pt idx="51" formatCode="0">
                  <c:v>28</c:v>
                </c:pt>
                <c:pt idx="52">
                  <c:v>29</c:v>
                </c:pt>
                <c:pt idx="53" formatCode="0">
                  <c:v>30</c:v>
                </c:pt>
                <c:pt idx="54">
                  <c:v>31</c:v>
                </c:pt>
                <c:pt idx="55" formatCode="0">
                  <c:v>32</c:v>
                </c:pt>
                <c:pt idx="56" formatCode="0">
                  <c:v>20</c:v>
                </c:pt>
                <c:pt idx="57">
                  <c:v>21</c:v>
                </c:pt>
                <c:pt idx="58">
                  <c:v>22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26</c:v>
                </c:pt>
                <c:pt idx="63">
                  <c:v>27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33</c:v>
                </c:pt>
                <c:pt idx="70">
                  <c:v>34</c:v>
                </c:pt>
                <c:pt idx="71">
                  <c:v>35</c:v>
                </c:pt>
                <c:pt idx="72">
                  <c:v>36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</c:numCache>
            </c:numRef>
          </c:val>
        </c:ser>
        <c:ser>
          <c:idx val="2"/>
          <c:order val="2"/>
          <c:tx>
            <c:strRef>
              <c:f>'Prop Clearance'!$C$14:$C$15</c:f>
              <c:strCache>
                <c:ptCount val="2"/>
                <c:pt idx="0">
                  <c:v>Hexacopter</c:v>
                </c:pt>
                <c:pt idx="1">
                  <c:v>Prop Clearance (in)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'Prop Clearance'!$C$16:$C$92</c:f>
              <c:numCache>
                <c:formatCode>0.0</c:formatCode>
                <c:ptCount val="7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0</c:v>
                </c:pt>
                <c:pt idx="12">
                  <c:v>0.5</c:v>
                </c:pt>
                <c:pt idx="13">
                  <c:v>1</c:v>
                </c:pt>
                <c:pt idx="14">
                  <c:v>1.5</c:v>
                </c:pt>
                <c:pt idx="15">
                  <c:v>2</c:v>
                </c:pt>
                <c:pt idx="16">
                  <c:v>2.5</c:v>
                </c:pt>
                <c:pt idx="17">
                  <c:v>3</c:v>
                </c:pt>
                <c:pt idx="18">
                  <c:v>3.5</c:v>
                </c:pt>
                <c:pt idx="19">
                  <c:v>4</c:v>
                </c:pt>
                <c:pt idx="20">
                  <c:v>4.5</c:v>
                </c:pt>
                <c:pt idx="21">
                  <c:v>5</c:v>
                </c:pt>
                <c:pt idx="22">
                  <c:v>5.5</c:v>
                </c:pt>
                <c:pt idx="23">
                  <c:v>6</c:v>
                </c:pt>
                <c:pt idx="24">
                  <c:v>0</c:v>
                </c:pt>
                <c:pt idx="25">
                  <c:v>0.5</c:v>
                </c:pt>
                <c:pt idx="26">
                  <c:v>1</c:v>
                </c:pt>
                <c:pt idx="27">
                  <c:v>1.5</c:v>
                </c:pt>
                <c:pt idx="28">
                  <c:v>2</c:v>
                </c:pt>
                <c:pt idx="29">
                  <c:v>2.5</c:v>
                </c:pt>
                <c:pt idx="30">
                  <c:v>3</c:v>
                </c:pt>
                <c:pt idx="31">
                  <c:v>3.5</c:v>
                </c:pt>
                <c:pt idx="32">
                  <c:v>4</c:v>
                </c:pt>
                <c:pt idx="33">
                  <c:v>4.5</c:v>
                </c:pt>
                <c:pt idx="34">
                  <c:v>5</c:v>
                </c:pt>
                <c:pt idx="35">
                  <c:v>5.5</c:v>
                </c:pt>
                <c:pt idx="36">
                  <c:v>6</c:v>
                </c:pt>
                <c:pt idx="37">
                  <c:v>6.5</c:v>
                </c:pt>
                <c:pt idx="38">
                  <c:v>7</c:v>
                </c:pt>
                <c:pt idx="39">
                  <c:v>0</c:v>
                </c:pt>
                <c:pt idx="40">
                  <c:v>0.5</c:v>
                </c:pt>
                <c:pt idx="41">
                  <c:v>1</c:v>
                </c:pt>
                <c:pt idx="42">
                  <c:v>1.5</c:v>
                </c:pt>
                <c:pt idx="43">
                  <c:v>2</c:v>
                </c:pt>
                <c:pt idx="44">
                  <c:v>2.5</c:v>
                </c:pt>
                <c:pt idx="45">
                  <c:v>3</c:v>
                </c:pt>
                <c:pt idx="46">
                  <c:v>3.5</c:v>
                </c:pt>
                <c:pt idx="47">
                  <c:v>4</c:v>
                </c:pt>
                <c:pt idx="48">
                  <c:v>4.5</c:v>
                </c:pt>
                <c:pt idx="49">
                  <c:v>5</c:v>
                </c:pt>
                <c:pt idx="50">
                  <c:v>5.5</c:v>
                </c:pt>
                <c:pt idx="51">
                  <c:v>6</c:v>
                </c:pt>
                <c:pt idx="52">
                  <c:v>6.5</c:v>
                </c:pt>
                <c:pt idx="53">
                  <c:v>7</c:v>
                </c:pt>
                <c:pt idx="54">
                  <c:v>7.5</c:v>
                </c:pt>
                <c:pt idx="55">
                  <c:v>8</c:v>
                </c:pt>
                <c:pt idx="56">
                  <c:v>0</c:v>
                </c:pt>
                <c:pt idx="57">
                  <c:v>0.5</c:v>
                </c:pt>
                <c:pt idx="58">
                  <c:v>1</c:v>
                </c:pt>
                <c:pt idx="59">
                  <c:v>1.5</c:v>
                </c:pt>
                <c:pt idx="60">
                  <c:v>2</c:v>
                </c:pt>
                <c:pt idx="61">
                  <c:v>2.5</c:v>
                </c:pt>
                <c:pt idx="62">
                  <c:v>3</c:v>
                </c:pt>
                <c:pt idx="63">
                  <c:v>3.5</c:v>
                </c:pt>
                <c:pt idx="64">
                  <c:v>4</c:v>
                </c:pt>
                <c:pt idx="65">
                  <c:v>4.5</c:v>
                </c:pt>
                <c:pt idx="66">
                  <c:v>5</c:v>
                </c:pt>
                <c:pt idx="67">
                  <c:v>5.5</c:v>
                </c:pt>
                <c:pt idx="68">
                  <c:v>6</c:v>
                </c:pt>
                <c:pt idx="69">
                  <c:v>6.5</c:v>
                </c:pt>
                <c:pt idx="70">
                  <c:v>7</c:v>
                </c:pt>
                <c:pt idx="71">
                  <c:v>7.5</c:v>
                </c:pt>
                <c:pt idx="72">
                  <c:v>8</c:v>
                </c:pt>
                <c:pt idx="73">
                  <c:v>8.5</c:v>
                </c:pt>
                <c:pt idx="74">
                  <c:v>9</c:v>
                </c:pt>
                <c:pt idx="75">
                  <c:v>9.5</c:v>
                </c:pt>
                <c:pt idx="76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22096"/>
        <c:axId val="36651792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'Prop Clearance'!#REF!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'Prop Clearance'!#REF!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 Clearance'!$D$14:$D$15</c15:sqref>
                        </c15:formulaRef>
                      </c:ext>
                    </c:extLst>
                    <c:strCache>
                      <c:ptCount val="2"/>
                      <c:pt idx="0">
                        <c:v>Hexacopter</c:v>
                      </c:pt>
                      <c:pt idx="1">
                        <c:v>Side Length (in)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 Clearance'!$D$16:$D$92</c15:sqref>
                        </c15:formulaRef>
                      </c:ext>
                    </c:extLst>
                    <c:numCache>
                      <c:formatCode>0.00</c:formatCode>
                      <c:ptCount val="77"/>
                      <c:pt idx="0">
                        <c:v>7.8867513459481291</c:v>
                      </c:pt>
                      <c:pt idx="1">
                        <c:v>8.3867513459481291</c:v>
                      </c:pt>
                      <c:pt idx="2">
                        <c:v>8.8867513459481291</c:v>
                      </c:pt>
                      <c:pt idx="3">
                        <c:v>9.3867513459481291</c:v>
                      </c:pt>
                      <c:pt idx="4">
                        <c:v>9.8867513459481291</c:v>
                      </c:pt>
                      <c:pt idx="5">
                        <c:v>10.386751345948129</c:v>
                      </c:pt>
                      <c:pt idx="6">
                        <c:v>10.886751345948129</c:v>
                      </c:pt>
                      <c:pt idx="7">
                        <c:v>11.386751345948129</c:v>
                      </c:pt>
                      <c:pt idx="8">
                        <c:v>11.886751345948129</c:v>
                      </c:pt>
                      <c:pt idx="9">
                        <c:v>12.386751345948129</c:v>
                      </c:pt>
                      <c:pt idx="10">
                        <c:v>12.886751345948129</c:v>
                      </c:pt>
                      <c:pt idx="11">
                        <c:v>9.4641016151377535</c:v>
                      </c:pt>
                      <c:pt idx="12">
                        <c:v>9.9641016151377535</c:v>
                      </c:pt>
                      <c:pt idx="13">
                        <c:v>10.464101615137753</c:v>
                      </c:pt>
                      <c:pt idx="14">
                        <c:v>10.964101615137753</c:v>
                      </c:pt>
                      <c:pt idx="15">
                        <c:v>11.464101615137753</c:v>
                      </c:pt>
                      <c:pt idx="16">
                        <c:v>11.964101615137753</c:v>
                      </c:pt>
                      <c:pt idx="17">
                        <c:v>12.464101615137753</c:v>
                      </c:pt>
                      <c:pt idx="18">
                        <c:v>12.964101615137753</c:v>
                      </c:pt>
                      <c:pt idx="19">
                        <c:v>13.464101615137753</c:v>
                      </c:pt>
                      <c:pt idx="20">
                        <c:v>13.964101615137753</c:v>
                      </c:pt>
                      <c:pt idx="21">
                        <c:v>14.464101615137753</c:v>
                      </c:pt>
                      <c:pt idx="22">
                        <c:v>14.964101615137753</c:v>
                      </c:pt>
                      <c:pt idx="23">
                        <c:v>15.464101615137753</c:v>
                      </c:pt>
                      <c:pt idx="24">
                        <c:v>11.04145188432738</c:v>
                      </c:pt>
                      <c:pt idx="25">
                        <c:v>11.54145188432738</c:v>
                      </c:pt>
                      <c:pt idx="26">
                        <c:v>12.04145188432738</c:v>
                      </c:pt>
                      <c:pt idx="27">
                        <c:v>12.54145188432738</c:v>
                      </c:pt>
                      <c:pt idx="28">
                        <c:v>13.04145188432738</c:v>
                      </c:pt>
                      <c:pt idx="29">
                        <c:v>13.54145188432738</c:v>
                      </c:pt>
                      <c:pt idx="30">
                        <c:v>14.04145188432738</c:v>
                      </c:pt>
                      <c:pt idx="31">
                        <c:v>14.54145188432738</c:v>
                      </c:pt>
                      <c:pt idx="32">
                        <c:v>15.04145188432738</c:v>
                      </c:pt>
                      <c:pt idx="33">
                        <c:v>15.54145188432738</c:v>
                      </c:pt>
                      <c:pt idx="34">
                        <c:v>16.04145188432738</c:v>
                      </c:pt>
                      <c:pt idx="35">
                        <c:v>16.54145188432738</c:v>
                      </c:pt>
                      <c:pt idx="36">
                        <c:v>17.04145188432738</c:v>
                      </c:pt>
                      <c:pt idx="37">
                        <c:v>17.54145188432738</c:v>
                      </c:pt>
                      <c:pt idx="38">
                        <c:v>18.04145188432738</c:v>
                      </c:pt>
                      <c:pt idx="39">
                        <c:v>12.618802153517006</c:v>
                      </c:pt>
                      <c:pt idx="40">
                        <c:v>13.118802153517006</c:v>
                      </c:pt>
                      <c:pt idx="41">
                        <c:v>13.618802153517006</c:v>
                      </c:pt>
                      <c:pt idx="42">
                        <c:v>14.118802153517006</c:v>
                      </c:pt>
                      <c:pt idx="43">
                        <c:v>14.618802153517006</c:v>
                      </c:pt>
                      <c:pt idx="44">
                        <c:v>15.118802153517006</c:v>
                      </c:pt>
                      <c:pt idx="45">
                        <c:v>15.618802153517006</c:v>
                      </c:pt>
                      <c:pt idx="46">
                        <c:v>16.118802153517006</c:v>
                      </c:pt>
                      <c:pt idx="47">
                        <c:v>16.618802153517006</c:v>
                      </c:pt>
                      <c:pt idx="48">
                        <c:v>17.118802153517006</c:v>
                      </c:pt>
                      <c:pt idx="49">
                        <c:v>17.618802153517006</c:v>
                      </c:pt>
                      <c:pt idx="50">
                        <c:v>18.118802153517006</c:v>
                      </c:pt>
                      <c:pt idx="51">
                        <c:v>18.618802153517006</c:v>
                      </c:pt>
                      <c:pt idx="52">
                        <c:v>19.118802153517006</c:v>
                      </c:pt>
                      <c:pt idx="53">
                        <c:v>19.618802153517006</c:v>
                      </c:pt>
                      <c:pt idx="54">
                        <c:v>20.118802153517006</c:v>
                      </c:pt>
                      <c:pt idx="55">
                        <c:v>20.618802153517006</c:v>
                      </c:pt>
                      <c:pt idx="56">
                        <c:v>15.773502691896258</c:v>
                      </c:pt>
                      <c:pt idx="57">
                        <c:v>16.273502691896258</c:v>
                      </c:pt>
                      <c:pt idx="58">
                        <c:v>16.773502691896258</c:v>
                      </c:pt>
                      <c:pt idx="59">
                        <c:v>17.273502691896258</c:v>
                      </c:pt>
                      <c:pt idx="60">
                        <c:v>17.773502691896258</c:v>
                      </c:pt>
                      <c:pt idx="61">
                        <c:v>18.273502691896258</c:v>
                      </c:pt>
                      <c:pt idx="62">
                        <c:v>18.773502691896258</c:v>
                      </c:pt>
                      <c:pt idx="63">
                        <c:v>19.273502691896258</c:v>
                      </c:pt>
                      <c:pt idx="64">
                        <c:v>19.773502691896258</c:v>
                      </c:pt>
                      <c:pt idx="65">
                        <c:v>20.273502691896258</c:v>
                      </c:pt>
                      <c:pt idx="66">
                        <c:v>20.773502691896258</c:v>
                      </c:pt>
                      <c:pt idx="67">
                        <c:v>21.273502691896258</c:v>
                      </c:pt>
                      <c:pt idx="68">
                        <c:v>21.773502691896258</c:v>
                      </c:pt>
                      <c:pt idx="69">
                        <c:v>22.273502691896258</c:v>
                      </c:pt>
                      <c:pt idx="70">
                        <c:v>22.773502691896258</c:v>
                      </c:pt>
                      <c:pt idx="71">
                        <c:v>23.273502691896258</c:v>
                      </c:pt>
                      <c:pt idx="72">
                        <c:v>23.773502691896258</c:v>
                      </c:pt>
                      <c:pt idx="73">
                        <c:v>24.273502691896258</c:v>
                      </c:pt>
                      <c:pt idx="74">
                        <c:v>24.773502691896258</c:v>
                      </c:pt>
                      <c:pt idx="75">
                        <c:v>25.273502691896258</c:v>
                      </c:pt>
                      <c:pt idx="76">
                        <c:v>25.773502691896258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 Clearance'!$E$14:$E$15</c15:sqref>
                        </c15:formulaRef>
                      </c:ext>
                    </c:extLst>
                    <c:strCache>
                      <c:ptCount val="2"/>
                      <c:pt idx="0">
                        <c:v>Hexacopter</c:v>
                      </c:pt>
                      <c:pt idx="1">
                        <c:v>Prop Area (sq ft)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 Clearance'!$E$16:$E$92</c15:sqref>
                        </c15:formulaRef>
                      </c:ext>
                    </c:extLst>
                    <c:numCache>
                      <c:formatCode>0.00</c:formatCode>
                      <c:ptCount val="77"/>
                      <c:pt idx="0">
                        <c:v>0.81812308687234203</c:v>
                      </c:pt>
                      <c:pt idx="1">
                        <c:v>0.81812308687234203</c:v>
                      </c:pt>
                      <c:pt idx="2">
                        <c:v>0.81812308687234203</c:v>
                      </c:pt>
                      <c:pt idx="3">
                        <c:v>0.81812308687234203</c:v>
                      </c:pt>
                      <c:pt idx="4">
                        <c:v>0.81812308687234203</c:v>
                      </c:pt>
                      <c:pt idx="5">
                        <c:v>0.81812308687234203</c:v>
                      </c:pt>
                      <c:pt idx="6">
                        <c:v>0.81812308687234203</c:v>
                      </c:pt>
                      <c:pt idx="7">
                        <c:v>0.81812308687234203</c:v>
                      </c:pt>
                      <c:pt idx="8">
                        <c:v>0.81812308687234203</c:v>
                      </c:pt>
                      <c:pt idx="9">
                        <c:v>0.81812308687234203</c:v>
                      </c:pt>
                      <c:pt idx="10">
                        <c:v>0.81812308687234203</c:v>
                      </c:pt>
                      <c:pt idx="11">
                        <c:v>1.1780972450961724</c:v>
                      </c:pt>
                      <c:pt idx="12">
                        <c:v>1.1780972450961724</c:v>
                      </c:pt>
                      <c:pt idx="13">
                        <c:v>1.1780972450961724</c:v>
                      </c:pt>
                      <c:pt idx="14">
                        <c:v>1.1780972450961724</c:v>
                      </c:pt>
                      <c:pt idx="15">
                        <c:v>1.1780972450961724</c:v>
                      </c:pt>
                      <c:pt idx="16">
                        <c:v>1.1780972450961724</c:v>
                      </c:pt>
                      <c:pt idx="17">
                        <c:v>1.1780972450961724</c:v>
                      </c:pt>
                      <c:pt idx="18">
                        <c:v>1.1780972450961724</c:v>
                      </c:pt>
                      <c:pt idx="19">
                        <c:v>1.1780972450961724</c:v>
                      </c:pt>
                      <c:pt idx="20">
                        <c:v>1.1780972450961724</c:v>
                      </c:pt>
                      <c:pt idx="21">
                        <c:v>1.1780972450961724</c:v>
                      </c:pt>
                      <c:pt idx="22">
                        <c:v>1.1780972450961724</c:v>
                      </c:pt>
                      <c:pt idx="23">
                        <c:v>1.1780972450961724</c:v>
                      </c:pt>
                      <c:pt idx="24">
                        <c:v>1.6035212502697904</c:v>
                      </c:pt>
                      <c:pt idx="25">
                        <c:v>1.6035212502697904</c:v>
                      </c:pt>
                      <c:pt idx="26">
                        <c:v>1.6035212502697904</c:v>
                      </c:pt>
                      <c:pt idx="27">
                        <c:v>1.6035212502697904</c:v>
                      </c:pt>
                      <c:pt idx="28">
                        <c:v>1.6035212502697904</c:v>
                      </c:pt>
                      <c:pt idx="29">
                        <c:v>1.6035212502697904</c:v>
                      </c:pt>
                      <c:pt idx="30">
                        <c:v>1.6035212502697904</c:v>
                      </c:pt>
                      <c:pt idx="31">
                        <c:v>1.6035212502697904</c:v>
                      </c:pt>
                      <c:pt idx="32">
                        <c:v>1.6035212502697904</c:v>
                      </c:pt>
                      <c:pt idx="33">
                        <c:v>1.6035212502697904</c:v>
                      </c:pt>
                      <c:pt idx="34">
                        <c:v>1.6035212502697904</c:v>
                      </c:pt>
                      <c:pt idx="35">
                        <c:v>1.6035212502697904</c:v>
                      </c:pt>
                      <c:pt idx="36">
                        <c:v>1.6035212502697904</c:v>
                      </c:pt>
                      <c:pt idx="37">
                        <c:v>1.6035212502697904</c:v>
                      </c:pt>
                      <c:pt idx="38">
                        <c:v>1.6035212502697904</c:v>
                      </c:pt>
                      <c:pt idx="39">
                        <c:v>2.0943951023931953</c:v>
                      </c:pt>
                      <c:pt idx="40">
                        <c:v>2.0943951023931953</c:v>
                      </c:pt>
                      <c:pt idx="41">
                        <c:v>2.0943951023931953</c:v>
                      </c:pt>
                      <c:pt idx="42">
                        <c:v>2.0943951023931953</c:v>
                      </c:pt>
                      <c:pt idx="43">
                        <c:v>2.0943951023931953</c:v>
                      </c:pt>
                      <c:pt idx="44">
                        <c:v>2.0943951023931953</c:v>
                      </c:pt>
                      <c:pt idx="45">
                        <c:v>2.0943951023931953</c:v>
                      </c:pt>
                      <c:pt idx="46">
                        <c:v>2.0943951023931953</c:v>
                      </c:pt>
                      <c:pt idx="47">
                        <c:v>2.0943951023931953</c:v>
                      </c:pt>
                      <c:pt idx="48">
                        <c:v>2.0943951023931953</c:v>
                      </c:pt>
                      <c:pt idx="49">
                        <c:v>2.0943951023931953</c:v>
                      </c:pt>
                      <c:pt idx="50">
                        <c:v>2.0943951023931953</c:v>
                      </c:pt>
                      <c:pt idx="51">
                        <c:v>2.0943951023931953</c:v>
                      </c:pt>
                      <c:pt idx="52">
                        <c:v>2.0943951023931953</c:v>
                      </c:pt>
                      <c:pt idx="53">
                        <c:v>2.0943951023931953</c:v>
                      </c:pt>
                      <c:pt idx="54">
                        <c:v>2.0943951023931953</c:v>
                      </c:pt>
                      <c:pt idx="55">
                        <c:v>2.0943951023931953</c:v>
                      </c:pt>
                      <c:pt idx="56">
                        <c:v>3.2724923474893681</c:v>
                      </c:pt>
                      <c:pt idx="57">
                        <c:v>3.2724923474893681</c:v>
                      </c:pt>
                      <c:pt idx="58">
                        <c:v>3.2724923474893681</c:v>
                      </c:pt>
                      <c:pt idx="59">
                        <c:v>3.2724923474893681</c:v>
                      </c:pt>
                      <c:pt idx="60">
                        <c:v>3.2724923474893681</c:v>
                      </c:pt>
                      <c:pt idx="61">
                        <c:v>3.2724923474893681</c:v>
                      </c:pt>
                      <c:pt idx="62">
                        <c:v>3.2724923474893681</c:v>
                      </c:pt>
                      <c:pt idx="63">
                        <c:v>3.2724923474893681</c:v>
                      </c:pt>
                      <c:pt idx="64">
                        <c:v>3.2724923474893681</c:v>
                      </c:pt>
                      <c:pt idx="65">
                        <c:v>3.2724923474893681</c:v>
                      </c:pt>
                      <c:pt idx="66">
                        <c:v>3.2724923474893681</c:v>
                      </c:pt>
                      <c:pt idx="67">
                        <c:v>3.2724923474893681</c:v>
                      </c:pt>
                      <c:pt idx="68">
                        <c:v>3.2724923474893681</c:v>
                      </c:pt>
                      <c:pt idx="69">
                        <c:v>3.2724923474893681</c:v>
                      </c:pt>
                      <c:pt idx="70">
                        <c:v>3.2724923474893681</c:v>
                      </c:pt>
                      <c:pt idx="71">
                        <c:v>3.2724923474893681</c:v>
                      </c:pt>
                      <c:pt idx="72">
                        <c:v>3.2724923474893681</c:v>
                      </c:pt>
                      <c:pt idx="73">
                        <c:v>3.2724923474893681</c:v>
                      </c:pt>
                      <c:pt idx="74">
                        <c:v>3.2724923474893681</c:v>
                      </c:pt>
                      <c:pt idx="75">
                        <c:v>3.2724923474893681</c:v>
                      </c:pt>
                      <c:pt idx="76">
                        <c:v>3.2724923474893681</c:v>
                      </c:pt>
                    </c:numCache>
                  </c:numRef>
                </c:val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'Prop Clearance'!$F$14:$F$15</c:f>
              <c:strCache>
                <c:ptCount val="2"/>
                <c:pt idx="0">
                  <c:v>Hexacopter</c:v>
                </c:pt>
                <c:pt idx="1">
                  <c:v>Unit Area (sq ft)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'Prop Clearance'!$F$16:$F$92</c:f>
              <c:numCache>
                <c:formatCode>0.00</c:formatCode>
                <c:ptCount val="77"/>
                <c:pt idx="0">
                  <c:v>1.1222398637391935</c:v>
                </c:pt>
                <c:pt idx="1">
                  <c:v>1.2690447256114501</c:v>
                </c:pt>
                <c:pt idx="2">
                  <c:v>1.4248706854397941</c:v>
                </c:pt>
                <c:pt idx="3">
                  <c:v>1.5897177432242262</c:v>
                </c:pt>
                <c:pt idx="4">
                  <c:v>1.7635858989647464</c:v>
                </c:pt>
                <c:pt idx="5">
                  <c:v>1.9464751526613542</c:v>
                </c:pt>
                <c:pt idx="6">
                  <c:v>2.1383855043140496</c:v>
                </c:pt>
                <c:pt idx="7">
                  <c:v>2.3393169539228338</c:v>
                </c:pt>
                <c:pt idx="8">
                  <c:v>2.5492695014877054</c:v>
                </c:pt>
                <c:pt idx="9">
                  <c:v>2.7682431470086653</c:v>
                </c:pt>
                <c:pt idx="10">
                  <c:v>2.9962378904857117</c:v>
                </c:pt>
                <c:pt idx="11">
                  <c:v>1.6160254037844382</c:v>
                </c:pt>
                <c:pt idx="12">
                  <c:v>1.7912891282355372</c:v>
                </c:pt>
                <c:pt idx="13">
                  <c:v>1.9755739506427239</c:v>
                </c:pt>
                <c:pt idx="14">
                  <c:v>2.168879871005998</c:v>
                </c:pt>
                <c:pt idx="15">
                  <c:v>2.3712068893253608</c:v>
                </c:pt>
                <c:pt idx="16">
                  <c:v>2.5825550056008111</c:v>
                </c:pt>
                <c:pt idx="17">
                  <c:v>2.8029242198323501</c:v>
                </c:pt>
                <c:pt idx="18">
                  <c:v>3.0323145320199756</c:v>
                </c:pt>
                <c:pt idx="19">
                  <c:v>3.2707259421636894</c:v>
                </c:pt>
                <c:pt idx="20">
                  <c:v>3.5181584502634924</c:v>
                </c:pt>
                <c:pt idx="21">
                  <c:v>3.774612056319381</c:v>
                </c:pt>
                <c:pt idx="22">
                  <c:v>4.0400867603313593</c:v>
                </c:pt>
                <c:pt idx="23">
                  <c:v>4.3145825622994254</c:v>
                </c:pt>
                <c:pt idx="24">
                  <c:v>2.1995901329288192</c:v>
                </c:pt>
                <c:pt idx="25">
                  <c:v>2.4033127199587603</c:v>
                </c:pt>
                <c:pt idx="26">
                  <c:v>2.6160564049447896</c:v>
                </c:pt>
                <c:pt idx="27">
                  <c:v>2.837821187886906</c:v>
                </c:pt>
                <c:pt idx="28">
                  <c:v>3.0686070687851115</c:v>
                </c:pt>
                <c:pt idx="29">
                  <c:v>3.3084140476394048</c:v>
                </c:pt>
                <c:pt idx="30">
                  <c:v>3.5572421244497847</c:v>
                </c:pt>
                <c:pt idx="31">
                  <c:v>3.8150912992162538</c:v>
                </c:pt>
                <c:pt idx="32">
                  <c:v>4.0819615719388107</c:v>
                </c:pt>
                <c:pt idx="33">
                  <c:v>4.3578529426174546</c:v>
                </c:pt>
                <c:pt idx="34">
                  <c:v>4.6427654112521868</c:v>
                </c:pt>
                <c:pt idx="35">
                  <c:v>4.9366989778430082</c:v>
                </c:pt>
                <c:pt idx="36">
                  <c:v>5.2396536423899152</c:v>
                </c:pt>
                <c:pt idx="37">
                  <c:v>5.5516294048929122</c:v>
                </c:pt>
                <c:pt idx="38">
                  <c:v>5.8726262653519958</c:v>
                </c:pt>
                <c:pt idx="39">
                  <c:v>2.8729340511723351</c:v>
                </c:pt>
                <c:pt idx="40">
                  <c:v>3.1051155007811193</c:v>
                </c:pt>
                <c:pt idx="41">
                  <c:v>3.34631804834599</c:v>
                </c:pt>
                <c:pt idx="42">
                  <c:v>3.5965416938669503</c:v>
                </c:pt>
                <c:pt idx="43">
                  <c:v>3.8557864373439981</c:v>
                </c:pt>
                <c:pt idx="44">
                  <c:v>4.1240522787771319</c:v>
                </c:pt>
                <c:pt idx="45">
                  <c:v>4.4013392181663562</c:v>
                </c:pt>
                <c:pt idx="46">
                  <c:v>4.6876472555116679</c:v>
                </c:pt>
                <c:pt idx="47">
                  <c:v>4.9829763908130662</c:v>
                </c:pt>
                <c:pt idx="48">
                  <c:v>5.2873266240705536</c:v>
                </c:pt>
                <c:pt idx="49">
                  <c:v>5.6006979552841294</c:v>
                </c:pt>
                <c:pt idx="50">
                  <c:v>5.9230903844537899</c:v>
                </c:pt>
                <c:pt idx="51">
                  <c:v>6.2545039115795422</c:v>
                </c:pt>
                <c:pt idx="52">
                  <c:v>6.5949385366613811</c:v>
                </c:pt>
                <c:pt idx="53">
                  <c:v>6.9443942596993065</c:v>
                </c:pt>
                <c:pt idx="54">
                  <c:v>7.302871080693321</c:v>
                </c:pt>
                <c:pt idx="55">
                  <c:v>7.6703689996434239</c:v>
                </c:pt>
                <c:pt idx="56">
                  <c:v>4.488959454956774</c:v>
                </c:pt>
                <c:pt idx="57">
                  <c:v>4.778058629723243</c:v>
                </c:pt>
                <c:pt idx="58">
                  <c:v>5.0761789024458004</c:v>
                </c:pt>
                <c:pt idx="59">
                  <c:v>5.3833202731244443</c:v>
                </c:pt>
                <c:pt idx="60">
                  <c:v>5.6994827417591765</c:v>
                </c:pt>
                <c:pt idx="61">
                  <c:v>6.0246663083499978</c:v>
                </c:pt>
                <c:pt idx="62">
                  <c:v>6.3588709728969048</c:v>
                </c:pt>
                <c:pt idx="63">
                  <c:v>6.7020967353999019</c:v>
                </c:pt>
                <c:pt idx="64">
                  <c:v>7.0543435958589855</c:v>
                </c:pt>
                <c:pt idx="65">
                  <c:v>7.4156115542741565</c:v>
                </c:pt>
                <c:pt idx="66">
                  <c:v>7.7859006106454167</c:v>
                </c:pt>
                <c:pt idx="67">
                  <c:v>8.1652107649727643</c:v>
                </c:pt>
                <c:pt idx="68">
                  <c:v>8.5535420172561984</c:v>
                </c:pt>
                <c:pt idx="69">
                  <c:v>8.9508943674957244</c:v>
                </c:pt>
                <c:pt idx="70">
                  <c:v>9.3572678156913351</c:v>
                </c:pt>
                <c:pt idx="71">
                  <c:v>9.7726623618430342</c:v>
                </c:pt>
                <c:pt idx="72">
                  <c:v>10.197078005950821</c:v>
                </c:pt>
                <c:pt idx="73">
                  <c:v>10.630514748014695</c:v>
                </c:pt>
                <c:pt idx="74">
                  <c:v>11.072972588034661</c:v>
                </c:pt>
                <c:pt idx="75">
                  <c:v>11.52445152601071</c:v>
                </c:pt>
                <c:pt idx="76">
                  <c:v>11.984951561942847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'Prop Clearance'!$G$14:$G$15</c:f>
              <c:strCache>
                <c:ptCount val="2"/>
                <c:pt idx="0">
                  <c:v>Hexacopter</c:v>
                </c:pt>
                <c:pt idx="1">
                  <c:v>Prop to Unit Area Ratio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'Prop Clearance'!$G$16:$G$92</c:f>
              <c:numCache>
                <c:formatCode>0%</c:formatCode>
                <c:ptCount val="77"/>
                <c:pt idx="0">
                  <c:v>0.72900911231796373</c:v>
                </c:pt>
                <c:pt idx="1">
                  <c:v>0.64467632256077867</c:v>
                </c:pt>
                <c:pt idx="2">
                  <c:v>0.57417356903502015</c:v>
                </c:pt>
                <c:pt idx="3">
                  <c:v>0.51463417978404458</c:v>
                </c:pt>
                <c:pt idx="4">
                  <c:v>0.46389749847319239</c:v>
                </c:pt>
                <c:pt idx="5">
                  <c:v>0.4203100593160658</c:v>
                </c:pt>
                <c:pt idx="6">
                  <c:v>0.38258914738331018</c:v>
                </c:pt>
                <c:pt idx="7">
                  <c:v>0.34972733622112206</c:v>
                </c:pt>
                <c:pt idx="8">
                  <c:v>0.32092451833550784</c:v>
                </c:pt>
                <c:pt idx="9">
                  <c:v>0.29553873826307392</c:v>
                </c:pt>
                <c:pt idx="10">
                  <c:v>0.27305011043022304</c:v>
                </c:pt>
                <c:pt idx="11">
                  <c:v>0.72900911231796384</c:v>
                </c:pt>
                <c:pt idx="12">
                  <c:v>0.65768123443959403</c:v>
                </c:pt>
                <c:pt idx="13">
                  <c:v>0.59633163552946011</c:v>
                </c:pt>
                <c:pt idx="14">
                  <c:v>0.54318234073043981</c:v>
                </c:pt>
                <c:pt idx="15">
                  <c:v>0.49683443920465176</c:v>
                </c:pt>
                <c:pt idx="16">
                  <c:v>0.45617508341205587</c:v>
                </c:pt>
                <c:pt idx="17">
                  <c:v>0.42031005931606574</c:v>
                </c:pt>
                <c:pt idx="18">
                  <c:v>0.38851419688028971</c:v>
                </c:pt>
                <c:pt idx="19">
                  <c:v>0.36019442347921804</c:v>
                </c:pt>
                <c:pt idx="20">
                  <c:v>0.33486190623618411</c:v>
                </c:pt>
                <c:pt idx="21">
                  <c:v>0.31211081497072668</c:v>
                </c:pt>
                <c:pt idx="22">
                  <c:v>0.29160196673586963</c:v>
                </c:pt>
                <c:pt idx="23">
                  <c:v>0.27305011043022298</c:v>
                </c:pt>
                <c:pt idx="24">
                  <c:v>0.72900911231796373</c:v>
                </c:pt>
                <c:pt idx="25">
                  <c:v>0.66721290032422664</c:v>
                </c:pt>
                <c:pt idx="26">
                  <c:v>0.61295362257436947</c:v>
                </c:pt>
                <c:pt idx="27">
                  <c:v>0.56505366057394257</c:v>
                </c:pt>
                <c:pt idx="28">
                  <c:v>0.52255672177169254</c:v>
                </c:pt>
                <c:pt idx="29">
                  <c:v>0.48467973693133209</c:v>
                </c:pt>
                <c:pt idx="30">
                  <c:v>0.45077652691909875</c:v>
                </c:pt>
                <c:pt idx="31">
                  <c:v>0.42031005931606585</c:v>
                </c:pt>
                <c:pt idx="32">
                  <c:v>0.39283104997682899</c:v>
                </c:pt>
                <c:pt idx="33">
                  <c:v>0.36796130373932912</c:v>
                </c:pt>
                <c:pt idx="34">
                  <c:v>0.34538063163465099</c:v>
                </c:pt>
                <c:pt idx="35">
                  <c:v>0.32481649326133655</c:v>
                </c:pt>
                <c:pt idx="36">
                  <c:v>0.306035734365524</c:v>
                </c:pt>
                <c:pt idx="37">
                  <c:v>0.28883794888335518</c:v>
                </c:pt>
                <c:pt idx="38">
                  <c:v>0.27305011043022298</c:v>
                </c:pt>
                <c:pt idx="39">
                  <c:v>0.72900911231796373</c:v>
                </c:pt>
                <c:pt idx="40">
                  <c:v>0.67449829221049318</c:v>
                </c:pt>
                <c:pt idx="41">
                  <c:v>0.62588046686967125</c:v>
                </c:pt>
                <c:pt idx="42">
                  <c:v>0.58233583277087819</c:v>
                </c:pt>
                <c:pt idx="43">
                  <c:v>0.54318234073043958</c:v>
                </c:pt>
                <c:pt idx="44">
                  <c:v>0.50784882460661418</c:v>
                </c:pt>
                <c:pt idx="45">
                  <c:v>0.47585405227314931</c:v>
                </c:pt>
                <c:pt idx="46">
                  <c:v>0.44679025281406054</c:v>
                </c:pt>
                <c:pt idx="47">
                  <c:v>0.4203100593160658</c:v>
                </c:pt>
                <c:pt idx="48">
                  <c:v>0.39611608120793257</c:v>
                </c:pt>
                <c:pt idx="49">
                  <c:v>0.37395251790309131</c:v>
                </c:pt>
                <c:pt idx="50">
                  <c:v>0.35359836950830764</c:v>
                </c:pt>
                <c:pt idx="51">
                  <c:v>0.33486190623618406</c:v>
                </c:pt>
                <c:pt idx="52">
                  <c:v>0.3175761367221871</c:v>
                </c:pt>
                <c:pt idx="53">
                  <c:v>0.30159507425257892</c:v>
                </c:pt>
                <c:pt idx="54">
                  <c:v>0.28679064428922624</c:v>
                </c:pt>
                <c:pt idx="55">
                  <c:v>0.27305011043022293</c:v>
                </c:pt>
                <c:pt idx="56">
                  <c:v>0.72900911231796373</c:v>
                </c:pt>
                <c:pt idx="57">
                  <c:v>0.68489999832398851</c:v>
                </c:pt>
                <c:pt idx="58">
                  <c:v>0.64467632256077867</c:v>
                </c:pt>
                <c:pt idx="59">
                  <c:v>0.60789479010321534</c:v>
                </c:pt>
                <c:pt idx="60">
                  <c:v>0.57417356903502015</c:v>
                </c:pt>
                <c:pt idx="61">
                  <c:v>0.54318234073043958</c:v>
                </c:pt>
                <c:pt idx="62">
                  <c:v>0.51463417978404458</c:v>
                </c:pt>
                <c:pt idx="63">
                  <c:v>0.48827888893401722</c:v>
                </c:pt>
                <c:pt idx="64">
                  <c:v>0.46389749847319239</c:v>
                </c:pt>
                <c:pt idx="65">
                  <c:v>0.44129770330313389</c:v>
                </c:pt>
                <c:pt idx="66">
                  <c:v>0.4203100593160658</c:v>
                </c:pt>
                <c:pt idx="67">
                  <c:v>0.40078479805172351</c:v>
                </c:pt>
                <c:pt idx="68">
                  <c:v>0.38258914738331018</c:v>
                </c:pt>
                <c:pt idx="69">
                  <c:v>0.3656050684022254</c:v>
                </c:pt>
                <c:pt idx="70">
                  <c:v>0.34972733622112206</c:v>
                </c:pt>
                <c:pt idx="71">
                  <c:v>0.33486190623618417</c:v>
                </c:pt>
                <c:pt idx="72">
                  <c:v>0.32092451833550784</c:v>
                </c:pt>
                <c:pt idx="73">
                  <c:v>0.30783950025566947</c:v>
                </c:pt>
                <c:pt idx="74">
                  <c:v>0.29553873826307392</c:v>
                </c:pt>
                <c:pt idx="75">
                  <c:v>0.2839607889454302</c:v>
                </c:pt>
                <c:pt idx="76">
                  <c:v>0.27305011043022304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518704"/>
        <c:axId val="366518312"/>
      </c:lineChart>
      <c:catAx>
        <c:axId val="832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517920"/>
        <c:crosses val="autoZero"/>
        <c:auto val="1"/>
        <c:lblAlgn val="ctr"/>
        <c:lblOffset val="100"/>
        <c:noMultiLvlLbl val="0"/>
      </c:catAx>
      <c:valAx>
        <c:axId val="36651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2096"/>
        <c:crosses val="autoZero"/>
        <c:crossBetween val="between"/>
      </c:valAx>
      <c:valAx>
        <c:axId val="366518312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518704"/>
        <c:crosses val="max"/>
        <c:crossBetween val="between"/>
      </c:valAx>
      <c:catAx>
        <c:axId val="3665187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66518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123824</xdr:colOff>
      <xdr:row>1</xdr:row>
      <xdr:rowOff>95250</xdr:rowOff>
    </xdr:from>
    <xdr:to>
      <xdr:col>38</xdr:col>
      <xdr:colOff>47625</xdr:colOff>
      <xdr:row>12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calc.ch/xcoptercalc.htm?ecalc&amp;lang=en&amp;cooling=2.5&amp;rotornumber=4&amp;weight=1958&amp;calc=auw&amp;elevation=500&amp;airtemp=25&amp;qnh=1013&amp;batteries=lipo_5000mah_-_45/60c&amp;chargestate=0&amp;s=4&amp;p=1&amp;esc=max_40a&amp;motor=turnigy&amp;gear=1&amp;propeller=apc_slowfly_sf&amp;diameter=12&amp;" TargetMode="External"/><Relationship Id="rId3" Type="http://schemas.openxmlformats.org/officeDocument/2006/relationships/hyperlink" Target="http://www.ecalc.ch/xcoptercalc.htm?ecalc&amp;lang=en&amp;cooling=2.5&amp;rotornumber=4&amp;weight=1716&amp;calc=auw&amp;elevation=500&amp;airtemp=25&amp;qnh=1013&amp;batteries=lipo_5000mah_-_45/60c&amp;chargestate=0&amp;s=3&amp;p=1&amp;esc=max_40a&amp;motor=turnigy&amp;gear=1&amp;propeller=apc_slowfly_sf&amp;diameter=12&amp;" TargetMode="External"/><Relationship Id="rId7" Type="http://schemas.openxmlformats.org/officeDocument/2006/relationships/hyperlink" Target="http://www.ecalc.ch/xcoptercalc.htm?ecalc&amp;lang=en&amp;cooling=2.5&amp;rotornumber=4&amp;weight=2011&amp;calc=auw&amp;elevation=500&amp;airtemp=25&amp;qnh=1013&amp;batteries=lipo_5000mah_-_45/60c&amp;chargestate=0&amp;s=4&amp;p=1&amp;esc=max_50a&amp;motor=turnigy&amp;gear=1&amp;propeller=apc_slowfly_sf&amp;diameter=12&amp;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www.ecalc.ch/xcoptercalc.htm?ecalc&amp;lang=en&amp;cooling=2.5&amp;rotornumber=4&amp;weight=1936&amp;calc=auw&amp;elevation=500&amp;airtemp=25&amp;qnh=1013&amp;batteries=lipo_5000mah_-_45/60c&amp;chargestate=0&amp;s=3&amp;p=1&amp;esc=max_50a&amp;motor=turnigy&amp;gear=1&amp;propeller=apc_slowfly_sf&amp;diameter=12&amp;" TargetMode="External"/><Relationship Id="rId1" Type="http://schemas.openxmlformats.org/officeDocument/2006/relationships/hyperlink" Target="http://www.ecalc.ch/xcoptercalc.htm?ecalc&amp;lang=en&amp;cooling=2.5&amp;rotornumber=4&amp;weight=1756&amp;calc=auw&amp;elevation=500&amp;airtemp=25&amp;qnh=1013&amp;batteries=lipo_5000mah_-_45/60c&amp;chargestate=0&amp;s=3&amp;p=1&amp;esc=max_40a&amp;motor=turnigy&amp;gear=1&amp;propeller=apc_slowfly_sf&amp;diameter=12&amp;" TargetMode="External"/><Relationship Id="rId6" Type="http://schemas.openxmlformats.org/officeDocument/2006/relationships/hyperlink" Target="http://www.ecalc.ch/xcoptercalc.htm?ecalc&amp;lang=en&amp;cooling=2.5&amp;rotornumber=4&amp;weight=2239&amp;calc=auw&amp;elevation=500&amp;airtemp=25&amp;qnh=1013&amp;batteries=lipo_5000mah_-_45/60c&amp;chargestate=0&amp;s=6&amp;p=1&amp;esc=max_60a&amp;motor=turnigy&amp;gear=1&amp;propeller=apc_slowfly_sf&amp;diameter=12&amp;" TargetMode="External"/><Relationship Id="rId11" Type="http://schemas.openxmlformats.org/officeDocument/2006/relationships/hyperlink" Target="http://www.ecalc.ch/xcoptercalc.htm?ecalc&amp;lang=en&amp;cooling=2.5&amp;rotornumber=4&amp;weight=1910&amp;calc=auw&amp;elevation=500&amp;airtemp=25&amp;qnh=1013&amp;esc=max_40a&amp;motor=turnigy&amp;gear=1" TargetMode="External"/><Relationship Id="rId5" Type="http://schemas.openxmlformats.org/officeDocument/2006/relationships/hyperlink" Target="http://www.ecalc.ch/xcoptercalc.htm?ecalc&amp;lang=en&amp;cooling=2.5&amp;rotornumber=4&amp;weight=1664&amp;calc=auw&amp;elevation=500&amp;airtemp=25&amp;qnh=1013&amp;batteries=lipo_5000mah_-_65/100c&amp;chargestate=0&amp;s=3&amp;p=1&amp;esc=max_40a&amp;motor=turnigy&amp;gear=1&amp;propeller=apc_slowfly_sf&amp;diameter=12" TargetMode="External"/><Relationship Id="rId10" Type="http://schemas.openxmlformats.org/officeDocument/2006/relationships/hyperlink" Target="http://www.ecalc.ch/xcoptercalc.htm?ecalc&amp;lang=en&amp;cooling=2.5&amp;rotornumber=4&amp;weight=2191&amp;calc=auw&amp;elevation=500&amp;airtemp=25&amp;qnh=1013&amp;esc=max_60a&amp;motor=turnigy&amp;gear=1" TargetMode="External"/><Relationship Id="rId4" Type="http://schemas.openxmlformats.org/officeDocument/2006/relationships/hyperlink" Target="http://www.ecalc.ch/xcoptercalc.htm?ecalc&amp;lang=en&amp;cooling=2.5&amp;rotornumber=4&amp;weight=1798&amp;calc=auw&amp;elevation=500&amp;airtemp=25&amp;qnh=1013&amp;batteries=lipo_5000mah_-_65/100c&amp;chargestate=0&amp;s=4&amp;p=1&amp;esc=max_40a&amp;motor=turnigy&amp;gear=1&amp;propeller=apc_slowfly_sf&amp;diameter=12" TargetMode="External"/><Relationship Id="rId9" Type="http://schemas.openxmlformats.org/officeDocument/2006/relationships/hyperlink" Target="http://www.ecalc.ch/xcoptercalc.htm?ecalc&amp;lang=en&amp;cooling=2.5&amp;rotornumber=4&amp;weight=1946&amp;calc=auw&amp;elevation=500&amp;airtemp=25&amp;qnh=1013&amp;motor=turnigy&amp;gear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obbyking.com/hobbyking/store/__36765__Turnigy_Multistar_3525_650Kv_14Pole_Multi_Rotor_Outrunner.html" TargetMode="External"/><Relationship Id="rId3" Type="http://schemas.openxmlformats.org/officeDocument/2006/relationships/hyperlink" Target="http://www.hobbyking.com/hobbyking/store/__26959__Turnigy_Multistar_4822_570Kv_22Pole_Multi_Rotor_Outrunner.html" TargetMode="External"/><Relationship Id="rId7" Type="http://schemas.openxmlformats.org/officeDocument/2006/relationships/hyperlink" Target="http://www.hobbyking.com/hobbyking/store/__26963__Turnigy_Multistar_4225_390Kv_16Pole_Multi_Rotor_Outrunner.html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://www.hobbyking.com/hobbyking/store/__26958__Turnigy_Multistar_4822_490Kv_22Pole_Multi_Rotor_Outrunner.html" TargetMode="External"/><Relationship Id="rId1" Type="http://schemas.openxmlformats.org/officeDocument/2006/relationships/hyperlink" Target="http://www.hobbyking.com/hobbyking/store/__39037__Turnigy_Multistar_2216_800Kv_Multi_Rotor_Outrunner.html" TargetMode="External"/><Relationship Id="rId6" Type="http://schemas.openxmlformats.org/officeDocument/2006/relationships/hyperlink" Target="http://www.hobbyking.com/hobbyking/store/__36767__Turnigy_Multistar_3525_850Kv_14Pole_Multi_Rotor_Outrunner.html" TargetMode="External"/><Relationship Id="rId11" Type="http://schemas.openxmlformats.org/officeDocument/2006/relationships/hyperlink" Target="http://www.hobbyking.com/hobbyking/store/__18160__Turnigy_Aerodrive_SK3_3530_1150kv_Brushless_Outrunner_Motor.html" TargetMode="External"/><Relationship Id="rId5" Type="http://schemas.openxmlformats.org/officeDocument/2006/relationships/hyperlink" Target="http://www.hobbyking.com/hobbyking/store/__26957__Turnigy_Multistar_4822_390Kv_22Pole_Multi_Rotor_Outrunner.html" TargetMode="External"/><Relationship Id="rId10" Type="http://schemas.openxmlformats.org/officeDocument/2006/relationships/hyperlink" Target="http://www.hobbyking.com/hobbyking/store/__18162__Turnigy_Aerodrive_SK3_3536_1050kv_Brushless_Outrunner_Motor.html" TargetMode="External"/><Relationship Id="rId4" Type="http://schemas.openxmlformats.org/officeDocument/2006/relationships/hyperlink" Target="http://www.hobbyking.com/hobbyking/store/__26960__Turnigy_Multistar_4822_690Kv_22Pole_Multi_Rotor_Outrunner.html" TargetMode="External"/><Relationship Id="rId9" Type="http://schemas.openxmlformats.org/officeDocument/2006/relationships/hyperlink" Target="http://www.hobbyking.com/hobbyking/store/__26964__Turnigy_Multistar_4225_610Kv_16Pole_Multi_Rotor_Outrunner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http://www.hobbyking.com/hobbyking/store/__31996__Turnigy_AE_25A_Brushless_ESC_USA_Warehouse_.html" TargetMode="External"/><Relationship Id="rId7" Type="http://schemas.openxmlformats.org/officeDocument/2006/relationships/hyperlink" Target="http://www.hobbyking.com/hobbyking/store/__30683__TURNIGY_Plush_18amp_Speed_Controller_US_Warehouse_.html" TargetMode="External"/><Relationship Id="rId2" Type="http://schemas.openxmlformats.org/officeDocument/2006/relationships/hyperlink" Target="http://www.hobbyking.com/hobbyking/store/__26499__Turnigy_dlux_30A_SBEC_Brushless_Speed_Controller_w_Data_Logging_2s_4s_USA_Warehouse_.html" TargetMode="External"/><Relationship Id="rId1" Type="http://schemas.openxmlformats.org/officeDocument/2006/relationships/hyperlink" Target="http://www.hobbyking.com/hobbyking/store/__33296__TURNIGY_Basic_25A_v3_1_Speed_Controller_USA_Warehouse_.html" TargetMode="External"/><Relationship Id="rId6" Type="http://schemas.openxmlformats.org/officeDocument/2006/relationships/hyperlink" Target="http://www.hobbyking.com/hobbyking/store/__2164__TURNIGY_Plush_30amp_Speed_Controller.html?strSearch=Turnigy%20plush" TargetMode="External"/><Relationship Id="rId5" Type="http://schemas.openxmlformats.org/officeDocument/2006/relationships/hyperlink" Target="http://www.hobbyking.com/hobbyking/store/__36903__TURNIGY_Plush_25amp_Speed_Controller_USA_Warehouse_.html" TargetMode="External"/><Relationship Id="rId4" Type="http://schemas.openxmlformats.org/officeDocument/2006/relationships/hyperlink" Target="http://www.hobbyking.com/hobbyking/store/__41152__TURNIGY_Plush_40amp_Speed_Controller_USA_warehouse_.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pane ySplit="1" topLeftCell="A2" activePane="bottomLeft" state="frozen"/>
      <selection pane="bottomLeft" activeCell="O2" sqref="O2"/>
    </sheetView>
  </sheetViews>
  <sheetFormatPr defaultRowHeight="15.75" x14ac:dyDescent="0.25"/>
  <cols>
    <col min="1" max="1" width="4.625" bestFit="1" customWidth="1"/>
    <col min="2" max="2" width="9.5" bestFit="1" customWidth="1"/>
    <col min="3" max="3" width="4.875" bestFit="1" customWidth="1"/>
    <col min="4" max="4" width="4.625" customWidth="1"/>
    <col min="5" max="5" width="4.875" bestFit="1" customWidth="1"/>
    <col min="6" max="6" width="4.625" bestFit="1" customWidth="1"/>
    <col min="7" max="7" width="4.875" bestFit="1" customWidth="1"/>
    <col min="8" max="8" width="4.625" bestFit="1" customWidth="1"/>
    <col min="9" max="10" width="5.375" bestFit="1" customWidth="1"/>
    <col min="11" max="11" width="8.625" bestFit="1" customWidth="1"/>
    <col min="12" max="12" width="4.625" bestFit="1" customWidth="1"/>
    <col min="13" max="13" width="5.375" bestFit="1" customWidth="1"/>
    <col min="14" max="15" width="4.625" customWidth="1"/>
    <col min="16" max="16" width="4.625" bestFit="1" customWidth="1"/>
    <col min="17" max="17" width="13.125" customWidth="1"/>
    <col min="18" max="18" width="15" customWidth="1"/>
    <col min="19" max="19" width="12.875" customWidth="1"/>
  </cols>
  <sheetData>
    <row r="1" spans="1:16" ht="126" x14ac:dyDescent="0.25">
      <c r="A1" s="103" t="s">
        <v>236</v>
      </c>
      <c r="B1" s="100" t="s">
        <v>235</v>
      </c>
      <c r="C1" s="100" t="s">
        <v>229</v>
      </c>
      <c r="D1" s="100" t="s">
        <v>228</v>
      </c>
      <c r="E1" s="100" t="s">
        <v>227</v>
      </c>
      <c r="F1" s="101" t="s">
        <v>226</v>
      </c>
      <c r="G1" s="101" t="s">
        <v>225</v>
      </c>
      <c r="H1" s="101" t="s">
        <v>224</v>
      </c>
      <c r="I1" s="101" t="s">
        <v>223</v>
      </c>
      <c r="J1" s="101" t="s">
        <v>222</v>
      </c>
      <c r="K1" s="101" t="s">
        <v>221</v>
      </c>
      <c r="L1" s="101" t="s">
        <v>220</v>
      </c>
      <c r="M1" s="114" t="s">
        <v>219</v>
      </c>
      <c r="N1" s="114" t="s">
        <v>230</v>
      </c>
      <c r="O1" s="114" t="s">
        <v>231</v>
      </c>
      <c r="P1" s="114" t="s">
        <v>218</v>
      </c>
    </row>
    <row r="2" spans="1:16" x14ac:dyDescent="0.25">
      <c r="A2" s="96">
        <v>7</v>
      </c>
      <c r="B2" s="92" t="s">
        <v>168</v>
      </c>
      <c r="C2" s="108">
        <v>14.8</v>
      </c>
      <c r="D2" s="108">
        <v>7</v>
      </c>
      <c r="E2" s="113">
        <v>2011</v>
      </c>
      <c r="F2" s="112">
        <v>3</v>
      </c>
      <c r="G2" s="111">
        <v>454</v>
      </c>
      <c r="H2" s="111">
        <v>1</v>
      </c>
      <c r="I2" s="110">
        <v>65</v>
      </c>
      <c r="J2" s="110">
        <v>1</v>
      </c>
      <c r="K2" s="117">
        <v>441.21</v>
      </c>
      <c r="L2" s="118">
        <v>3</v>
      </c>
      <c r="M2" s="115">
        <f t="shared" ref="M2:M12" si="0">D2+F2+H2+J2+L2</f>
        <v>15</v>
      </c>
      <c r="N2" s="116">
        <f t="shared" ref="N2:N12" si="1">D2*2+F2*1.5+H2*1.75+J2+L2*1.25</f>
        <v>25</v>
      </c>
      <c r="O2" s="116">
        <f t="shared" ref="O2:O12" si="2">D2*3+F2*2+H2*1.75+J2+L2*1.5</f>
        <v>34.25</v>
      </c>
      <c r="P2" s="29" t="s">
        <v>158</v>
      </c>
    </row>
    <row r="3" spans="1:16" x14ac:dyDescent="0.25">
      <c r="A3" s="96">
        <v>6</v>
      </c>
      <c r="B3" s="92" t="s">
        <v>169</v>
      </c>
      <c r="C3" s="109" t="s">
        <v>217</v>
      </c>
      <c r="D3" s="108">
        <v>10</v>
      </c>
      <c r="E3" s="107" t="s">
        <v>216</v>
      </c>
      <c r="F3" s="112">
        <v>1</v>
      </c>
      <c r="G3" s="111">
        <v>1191</v>
      </c>
      <c r="H3" s="111">
        <v>5</v>
      </c>
      <c r="I3" s="110">
        <v>50</v>
      </c>
      <c r="J3" s="110">
        <v>4</v>
      </c>
      <c r="K3" s="117">
        <v>472.83</v>
      </c>
      <c r="L3" s="118">
        <v>1</v>
      </c>
      <c r="M3" s="115">
        <f t="shared" si="0"/>
        <v>21</v>
      </c>
      <c r="N3" s="116">
        <f t="shared" si="1"/>
        <v>35.5</v>
      </c>
      <c r="O3" s="116">
        <f t="shared" si="2"/>
        <v>46.25</v>
      </c>
      <c r="P3" s="29" t="s">
        <v>158</v>
      </c>
    </row>
    <row r="4" spans="1:16" x14ac:dyDescent="0.25">
      <c r="A4" s="96">
        <v>10</v>
      </c>
      <c r="B4" s="92" t="s">
        <v>163</v>
      </c>
      <c r="C4" s="109" t="s">
        <v>215</v>
      </c>
      <c r="D4" s="108">
        <v>11</v>
      </c>
      <c r="E4" s="107" t="s">
        <v>214</v>
      </c>
      <c r="F4" s="112">
        <v>2</v>
      </c>
      <c r="G4" s="111">
        <v>1106</v>
      </c>
      <c r="H4" s="111">
        <v>3</v>
      </c>
      <c r="I4" s="110">
        <v>51</v>
      </c>
      <c r="J4" s="110">
        <v>3</v>
      </c>
      <c r="K4" s="117">
        <v>460.83</v>
      </c>
      <c r="L4" s="118">
        <v>2</v>
      </c>
      <c r="M4" s="115">
        <f t="shared" si="0"/>
        <v>21</v>
      </c>
      <c r="N4" s="116">
        <f t="shared" si="1"/>
        <v>35.75</v>
      </c>
      <c r="O4" s="116">
        <f t="shared" si="2"/>
        <v>48.25</v>
      </c>
      <c r="P4" s="29" t="s">
        <v>158</v>
      </c>
    </row>
    <row r="5" spans="1:16" x14ac:dyDescent="0.25">
      <c r="A5" s="96">
        <v>8</v>
      </c>
      <c r="B5" s="92" t="s">
        <v>165</v>
      </c>
      <c r="C5" s="109" t="s">
        <v>213</v>
      </c>
      <c r="D5" s="108">
        <v>6</v>
      </c>
      <c r="E5" s="107" t="s">
        <v>212</v>
      </c>
      <c r="F5" s="112">
        <v>4</v>
      </c>
      <c r="G5" s="111">
        <v>1117</v>
      </c>
      <c r="H5" s="111">
        <v>4</v>
      </c>
      <c r="I5" s="110">
        <v>50</v>
      </c>
      <c r="J5" s="110">
        <v>5</v>
      </c>
      <c r="K5" s="117">
        <v>416.37</v>
      </c>
      <c r="L5" s="118">
        <v>4</v>
      </c>
      <c r="M5" s="115">
        <f t="shared" si="0"/>
        <v>23</v>
      </c>
      <c r="N5" s="116">
        <f t="shared" si="1"/>
        <v>35</v>
      </c>
      <c r="O5" s="116">
        <f t="shared" si="2"/>
        <v>44</v>
      </c>
      <c r="P5" s="29" t="s">
        <v>158</v>
      </c>
    </row>
    <row r="6" spans="1:16" x14ac:dyDescent="0.25">
      <c r="A6" s="96">
        <v>3</v>
      </c>
      <c r="B6" s="92" t="s">
        <v>175</v>
      </c>
      <c r="C6" s="109" t="s">
        <v>211</v>
      </c>
      <c r="D6" s="108">
        <v>3</v>
      </c>
      <c r="E6" s="107" t="s">
        <v>210</v>
      </c>
      <c r="F6" s="112">
        <v>10</v>
      </c>
      <c r="G6" s="111">
        <v>764</v>
      </c>
      <c r="H6" s="111">
        <v>2</v>
      </c>
      <c r="I6" s="110">
        <v>53</v>
      </c>
      <c r="J6" s="110">
        <v>2</v>
      </c>
      <c r="K6" s="117">
        <v>321.43</v>
      </c>
      <c r="L6" s="118">
        <v>11</v>
      </c>
      <c r="M6" s="115">
        <f t="shared" si="0"/>
        <v>28</v>
      </c>
      <c r="N6" s="116">
        <f t="shared" si="1"/>
        <v>40.25</v>
      </c>
      <c r="O6" s="116">
        <f t="shared" si="2"/>
        <v>51</v>
      </c>
      <c r="P6" s="29" t="s">
        <v>158</v>
      </c>
    </row>
    <row r="7" spans="1:16" x14ac:dyDescent="0.25">
      <c r="A7" s="96">
        <v>9</v>
      </c>
      <c r="B7" s="92" t="s">
        <v>164</v>
      </c>
      <c r="C7" s="109" t="s">
        <v>209</v>
      </c>
      <c r="D7" s="108">
        <v>5</v>
      </c>
      <c r="E7" s="107" t="s">
        <v>208</v>
      </c>
      <c r="F7" s="112">
        <v>5</v>
      </c>
      <c r="G7" s="111">
        <v>2094</v>
      </c>
      <c r="H7" s="111">
        <v>9</v>
      </c>
      <c r="I7" s="110">
        <v>36</v>
      </c>
      <c r="J7" s="110">
        <v>9</v>
      </c>
      <c r="K7" s="117">
        <v>416.37</v>
      </c>
      <c r="L7" s="118">
        <v>4</v>
      </c>
      <c r="M7" s="115">
        <f t="shared" si="0"/>
        <v>32</v>
      </c>
      <c r="N7" s="116">
        <f t="shared" si="1"/>
        <v>47.25</v>
      </c>
      <c r="O7" s="116">
        <f t="shared" si="2"/>
        <v>55.75</v>
      </c>
      <c r="P7" s="29" t="s">
        <v>158</v>
      </c>
    </row>
    <row r="8" spans="1:16" x14ac:dyDescent="0.25">
      <c r="A8" s="96">
        <v>2</v>
      </c>
      <c r="B8" s="92" t="s">
        <v>177</v>
      </c>
      <c r="C8" s="109" t="s">
        <v>207</v>
      </c>
      <c r="D8" s="108">
        <v>1</v>
      </c>
      <c r="E8" s="107" t="s">
        <v>206</v>
      </c>
      <c r="F8" s="106">
        <v>6</v>
      </c>
      <c r="G8" s="105">
        <v>2706</v>
      </c>
      <c r="H8" s="105">
        <v>11</v>
      </c>
      <c r="I8" s="104">
        <v>28</v>
      </c>
      <c r="J8" s="104">
        <v>10</v>
      </c>
      <c r="K8" s="119">
        <v>405.99</v>
      </c>
      <c r="L8" s="118">
        <v>6</v>
      </c>
      <c r="M8" s="115">
        <f t="shared" si="0"/>
        <v>34</v>
      </c>
      <c r="N8" s="116">
        <f t="shared" si="1"/>
        <v>47.75</v>
      </c>
      <c r="O8" s="116">
        <f t="shared" si="2"/>
        <v>53.25</v>
      </c>
      <c r="P8" s="29" t="s">
        <v>158</v>
      </c>
    </row>
    <row r="9" spans="1:16" x14ac:dyDescent="0.25">
      <c r="A9" s="96">
        <v>4</v>
      </c>
      <c r="B9" s="92" t="s">
        <v>172</v>
      </c>
      <c r="C9" s="109" t="s">
        <v>205</v>
      </c>
      <c r="D9" s="108">
        <v>8</v>
      </c>
      <c r="E9" s="107" t="s">
        <v>204</v>
      </c>
      <c r="F9" s="112">
        <v>8</v>
      </c>
      <c r="G9" s="111">
        <v>1396</v>
      </c>
      <c r="H9" s="111">
        <v>6</v>
      </c>
      <c r="I9" s="110">
        <v>42</v>
      </c>
      <c r="J9" s="110">
        <v>6</v>
      </c>
      <c r="K9" s="117">
        <v>392.85</v>
      </c>
      <c r="L9" s="118">
        <v>8</v>
      </c>
      <c r="M9" s="115">
        <f t="shared" si="0"/>
        <v>36</v>
      </c>
      <c r="N9" s="116">
        <f t="shared" si="1"/>
        <v>54.5</v>
      </c>
      <c r="O9" s="116">
        <f t="shared" si="2"/>
        <v>68.5</v>
      </c>
      <c r="P9" s="29" t="s">
        <v>158</v>
      </c>
    </row>
    <row r="10" spans="1:16" x14ac:dyDescent="0.25">
      <c r="A10" s="96">
        <v>11</v>
      </c>
      <c r="B10" s="92" t="s">
        <v>160</v>
      </c>
      <c r="C10" s="109" t="s">
        <v>203</v>
      </c>
      <c r="D10" s="108">
        <v>9</v>
      </c>
      <c r="E10" s="107" t="s">
        <v>202</v>
      </c>
      <c r="F10" s="112">
        <v>7</v>
      </c>
      <c r="G10" s="111">
        <v>1586</v>
      </c>
      <c r="H10" s="111">
        <v>8</v>
      </c>
      <c r="I10" s="110">
        <v>40</v>
      </c>
      <c r="J10" s="110">
        <v>7</v>
      </c>
      <c r="K10" s="117">
        <v>404.37</v>
      </c>
      <c r="L10" s="118">
        <v>7</v>
      </c>
      <c r="M10" s="115">
        <f t="shared" si="0"/>
        <v>38</v>
      </c>
      <c r="N10" s="116">
        <f t="shared" si="1"/>
        <v>58.25</v>
      </c>
      <c r="O10" s="116">
        <f t="shared" si="2"/>
        <v>72.5</v>
      </c>
      <c r="P10" s="29" t="s">
        <v>158</v>
      </c>
    </row>
    <row r="11" spans="1:16" x14ac:dyDescent="0.25">
      <c r="A11" s="96">
        <v>5</v>
      </c>
      <c r="B11" s="92" t="s">
        <v>171</v>
      </c>
      <c r="C11" s="109" t="s">
        <v>201</v>
      </c>
      <c r="D11" s="108">
        <v>4</v>
      </c>
      <c r="E11" s="107" t="s">
        <v>200</v>
      </c>
      <c r="F11" s="112">
        <v>11</v>
      </c>
      <c r="G11" s="111">
        <v>1418</v>
      </c>
      <c r="H11" s="111">
        <v>7</v>
      </c>
      <c r="I11" s="110">
        <v>39</v>
      </c>
      <c r="J11" s="110">
        <v>8</v>
      </c>
      <c r="K11" s="117">
        <v>383.66</v>
      </c>
      <c r="L11" s="118">
        <v>9</v>
      </c>
      <c r="M11" s="115">
        <f t="shared" si="0"/>
        <v>39</v>
      </c>
      <c r="N11" s="116">
        <f t="shared" si="1"/>
        <v>56</v>
      </c>
      <c r="O11" s="116">
        <f t="shared" si="2"/>
        <v>67.75</v>
      </c>
      <c r="P11" s="29" t="s">
        <v>158</v>
      </c>
    </row>
    <row r="12" spans="1:16" x14ac:dyDescent="0.25">
      <c r="A12" s="96">
        <v>1</v>
      </c>
      <c r="B12" s="92" t="s">
        <v>179</v>
      </c>
      <c r="C12" s="109" t="s">
        <v>199</v>
      </c>
      <c r="D12" s="108">
        <v>2</v>
      </c>
      <c r="E12" s="107" t="s">
        <v>198</v>
      </c>
      <c r="F12" s="106">
        <v>9</v>
      </c>
      <c r="G12" s="105">
        <v>2455</v>
      </c>
      <c r="H12" s="105">
        <v>10</v>
      </c>
      <c r="I12" s="104">
        <v>28</v>
      </c>
      <c r="J12" s="104">
        <v>11</v>
      </c>
      <c r="K12" s="119">
        <v>354.67</v>
      </c>
      <c r="L12" s="118">
        <v>10</v>
      </c>
      <c r="M12" s="115">
        <f t="shared" si="0"/>
        <v>42</v>
      </c>
      <c r="N12" s="116">
        <f t="shared" si="1"/>
        <v>58.5</v>
      </c>
      <c r="O12" s="116">
        <f t="shared" si="2"/>
        <v>67.5</v>
      </c>
      <c r="P12" s="29" t="s">
        <v>158</v>
      </c>
    </row>
  </sheetData>
  <sortState ref="A2:P12">
    <sortCondition ref="M1"/>
  </sortState>
  <hyperlinks>
    <hyperlink ref="P12" r:id="rId1" display="http://www.ecalc.ch/xcoptercalc.htm?ecalc&amp;lang=en&amp;cooling=2.5&amp;rotornumber=4&amp;weight=1756&amp;calc=auw&amp;elevation=500&amp;airtemp=25&amp;qnh=1013&amp;batteries=lipo_5000mah_-_45/60c&amp;chargestate=0&amp;s=3&amp;p=1&amp;esc=max_40a&amp;motor=turnigy&amp;gear=1&amp;propeller=apc_slowfly_sf&amp;diameter=12&amp;"/>
    <hyperlink ref="P8" r:id="rId2"/>
    <hyperlink ref="P6" r:id="rId3"/>
    <hyperlink ref="P9" r:id="rId4"/>
    <hyperlink ref="P11" r:id="rId5"/>
    <hyperlink ref="P3" r:id="rId6"/>
    <hyperlink ref="P2" r:id="rId7"/>
    <hyperlink ref="P5" r:id="rId8"/>
    <hyperlink ref="P7" r:id="rId9"/>
    <hyperlink ref="P4" r:id="rId10"/>
    <hyperlink ref="P10" r:id="rId11"/>
  </hyperlinks>
  <pageMargins left="0.7" right="0.7" top="0.75" bottom="0.75" header="0.3" footer="0.3"/>
  <pageSetup orientation="landscape" horizontalDpi="0" verticalDpi="0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C21" sqref="C21"/>
    </sheetView>
  </sheetViews>
  <sheetFormatPr defaultRowHeight="15.75" x14ac:dyDescent="0.25"/>
  <cols>
    <col min="1" max="1" width="16.625" bestFit="1" customWidth="1"/>
    <col min="2" max="2" width="9.5" bestFit="1" customWidth="1"/>
    <col min="3" max="4" width="14.375" bestFit="1" customWidth="1"/>
  </cols>
  <sheetData>
    <row r="1" spans="1:4" x14ac:dyDescent="0.25">
      <c r="A1" s="96" t="s">
        <v>234</v>
      </c>
      <c r="B1" s="96" t="s">
        <v>197</v>
      </c>
      <c r="C1" s="96" t="s">
        <v>232</v>
      </c>
      <c r="D1" s="96" t="s">
        <v>233</v>
      </c>
    </row>
    <row r="2" spans="1:4" x14ac:dyDescent="0.25">
      <c r="A2" s="96">
        <v>11</v>
      </c>
      <c r="B2" s="92" t="s">
        <v>168</v>
      </c>
      <c r="C2" s="92" t="s">
        <v>168</v>
      </c>
      <c r="D2" s="92" t="s">
        <v>168</v>
      </c>
    </row>
    <row r="3" spans="1:4" x14ac:dyDescent="0.25">
      <c r="A3" s="96">
        <v>10</v>
      </c>
      <c r="B3" s="92" t="s">
        <v>169</v>
      </c>
      <c r="C3" s="92" t="s">
        <v>165</v>
      </c>
      <c r="D3" s="92" t="s">
        <v>165</v>
      </c>
    </row>
    <row r="4" spans="1:4" x14ac:dyDescent="0.25">
      <c r="A4" s="96">
        <v>9</v>
      </c>
      <c r="B4" s="92" t="s">
        <v>163</v>
      </c>
      <c r="C4" s="92" t="s">
        <v>169</v>
      </c>
      <c r="D4" s="92" t="s">
        <v>169</v>
      </c>
    </row>
    <row r="5" spans="1:4" x14ac:dyDescent="0.25">
      <c r="A5" s="96">
        <v>8</v>
      </c>
      <c r="B5" s="92" t="s">
        <v>165</v>
      </c>
      <c r="C5" s="92" t="s">
        <v>163</v>
      </c>
      <c r="D5" s="92" t="s">
        <v>163</v>
      </c>
    </row>
    <row r="6" spans="1:4" x14ac:dyDescent="0.25">
      <c r="A6" s="96">
        <v>7</v>
      </c>
      <c r="B6" s="92" t="s">
        <v>175</v>
      </c>
      <c r="C6" s="92" t="s">
        <v>175</v>
      </c>
      <c r="D6" s="92" t="s">
        <v>175</v>
      </c>
    </row>
    <row r="7" spans="1:4" x14ac:dyDescent="0.25">
      <c r="A7" s="96">
        <v>6</v>
      </c>
      <c r="B7" s="92" t="s">
        <v>164</v>
      </c>
      <c r="C7" s="92" t="s">
        <v>164</v>
      </c>
      <c r="D7" s="92" t="s">
        <v>177</v>
      </c>
    </row>
    <row r="8" spans="1:4" x14ac:dyDescent="0.25">
      <c r="A8" s="96">
        <v>5</v>
      </c>
      <c r="B8" s="92" t="s">
        <v>177</v>
      </c>
      <c r="C8" s="92" t="s">
        <v>177</v>
      </c>
      <c r="D8" s="92" t="s">
        <v>164</v>
      </c>
    </row>
    <row r="9" spans="1:4" x14ac:dyDescent="0.25">
      <c r="A9" s="96">
        <v>4</v>
      </c>
      <c r="B9" s="92" t="s">
        <v>172</v>
      </c>
      <c r="C9" s="92" t="s">
        <v>172</v>
      </c>
      <c r="D9" s="92" t="s">
        <v>179</v>
      </c>
    </row>
    <row r="10" spans="1:4" x14ac:dyDescent="0.25">
      <c r="A10" s="96">
        <v>3</v>
      </c>
      <c r="B10" s="92" t="s">
        <v>160</v>
      </c>
      <c r="C10" s="92" t="s">
        <v>171</v>
      </c>
      <c r="D10" s="92" t="s">
        <v>171</v>
      </c>
    </row>
    <row r="11" spans="1:4" x14ac:dyDescent="0.25">
      <c r="A11" s="96">
        <v>2</v>
      </c>
      <c r="B11" s="92" t="s">
        <v>171</v>
      </c>
      <c r="C11" s="92" t="s">
        <v>160</v>
      </c>
      <c r="D11" s="92" t="s">
        <v>172</v>
      </c>
    </row>
    <row r="12" spans="1:4" x14ac:dyDescent="0.25">
      <c r="A12" s="96">
        <v>1</v>
      </c>
      <c r="B12" s="92" t="s">
        <v>179</v>
      </c>
      <c r="C12" s="92" t="s">
        <v>179</v>
      </c>
      <c r="D12" s="92" t="s">
        <v>160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3"/>
  <sheetViews>
    <sheetView view="pageLayout" zoomScale="75" zoomScaleNormal="100" zoomScalePageLayoutView="75" workbookViewId="0">
      <selection sqref="A1:S1"/>
    </sheetView>
  </sheetViews>
  <sheetFormatPr defaultColWidth="8.875" defaultRowHeight="15.75" x14ac:dyDescent="0.25"/>
  <cols>
    <col min="1" max="1" width="5" bestFit="1" customWidth="1"/>
    <col min="2" max="2" width="7.625" bestFit="1" customWidth="1"/>
    <col min="3" max="3" width="13.5" bestFit="1" customWidth="1"/>
    <col min="4" max="4" width="9.75" bestFit="1" customWidth="1"/>
    <col min="5" max="5" width="5" style="63" bestFit="1" customWidth="1"/>
    <col min="6" max="6" width="5.125" style="77" bestFit="1" customWidth="1"/>
    <col min="7" max="7" width="5" style="76" bestFit="1" customWidth="1"/>
    <col min="8" max="10" width="5" bestFit="1" customWidth="1"/>
    <col min="11" max="11" width="6.125" bestFit="1" customWidth="1"/>
    <col min="12" max="13" width="5" bestFit="1" customWidth="1"/>
    <col min="14" max="14" width="5.125" bestFit="1" customWidth="1"/>
    <col min="15" max="15" width="5" bestFit="1" customWidth="1"/>
    <col min="16" max="16" width="5" style="2" bestFit="1" customWidth="1"/>
    <col min="17" max="17" width="5.75" style="22" bestFit="1" customWidth="1"/>
    <col min="18" max="18" width="8" bestFit="1" customWidth="1"/>
    <col min="19" max="19" width="5" bestFit="1" customWidth="1"/>
  </cols>
  <sheetData>
    <row r="1" spans="1:19" s="97" customFormat="1" ht="132" x14ac:dyDescent="0.25">
      <c r="A1" s="103" t="s">
        <v>196</v>
      </c>
      <c r="B1" s="100" t="s">
        <v>195</v>
      </c>
      <c r="C1" s="100" t="s">
        <v>194</v>
      </c>
      <c r="D1" s="100" t="s">
        <v>193</v>
      </c>
      <c r="E1" s="102" t="s">
        <v>153</v>
      </c>
      <c r="F1" s="100" t="s">
        <v>192</v>
      </c>
      <c r="G1" s="101" t="s">
        <v>191</v>
      </c>
      <c r="H1" s="100" t="s">
        <v>190</v>
      </c>
      <c r="I1" s="100" t="s">
        <v>189</v>
      </c>
      <c r="J1" s="100" t="s">
        <v>188</v>
      </c>
      <c r="K1" s="100" t="s">
        <v>187</v>
      </c>
      <c r="L1" s="100" t="s">
        <v>186</v>
      </c>
      <c r="M1" s="100" t="s">
        <v>185</v>
      </c>
      <c r="N1" s="100" t="s">
        <v>184</v>
      </c>
      <c r="O1" s="100" t="s">
        <v>183</v>
      </c>
      <c r="P1" s="100" t="s">
        <v>182</v>
      </c>
      <c r="Q1" s="99" t="s">
        <v>181</v>
      </c>
      <c r="R1" s="99" t="s">
        <v>180</v>
      </c>
      <c r="S1" s="98" t="s">
        <v>158</v>
      </c>
    </row>
    <row r="2" spans="1:19" x14ac:dyDescent="0.25">
      <c r="A2" s="93">
        <v>1</v>
      </c>
      <c r="B2" s="87" t="s">
        <v>138</v>
      </c>
      <c r="C2" s="87" t="s">
        <v>178</v>
      </c>
      <c r="D2" s="92" t="s">
        <v>179</v>
      </c>
      <c r="E2" s="91" t="s">
        <v>176</v>
      </c>
      <c r="F2" s="96">
        <v>1150</v>
      </c>
      <c r="G2" s="89"/>
      <c r="H2" s="96">
        <v>330</v>
      </c>
      <c r="I2" s="96" t="s">
        <v>149</v>
      </c>
      <c r="J2" s="95">
        <v>24</v>
      </c>
      <c r="K2" s="96">
        <v>6.9000000000000006E-2</v>
      </c>
      <c r="L2" s="85">
        <v>28</v>
      </c>
      <c r="M2" s="95">
        <v>4</v>
      </c>
      <c r="N2" s="96">
        <v>37</v>
      </c>
      <c r="O2" s="96">
        <v>31</v>
      </c>
      <c r="P2" s="95">
        <v>76</v>
      </c>
      <c r="Q2" s="95">
        <v>30</v>
      </c>
      <c r="R2" s="84">
        <v>25.01</v>
      </c>
      <c r="S2" s="94" t="s">
        <v>158</v>
      </c>
    </row>
    <row r="3" spans="1:19" x14ac:dyDescent="0.25">
      <c r="A3" s="93">
        <v>2</v>
      </c>
      <c r="B3" s="87" t="s">
        <v>138</v>
      </c>
      <c r="C3" s="87" t="s">
        <v>178</v>
      </c>
      <c r="D3" s="92" t="s">
        <v>177</v>
      </c>
      <c r="E3" s="91" t="s">
        <v>176</v>
      </c>
      <c r="F3" s="96">
        <v>1050</v>
      </c>
      <c r="G3" s="89"/>
      <c r="H3" s="96">
        <v>505</v>
      </c>
      <c r="I3" s="96" t="s">
        <v>149</v>
      </c>
      <c r="J3" s="95">
        <v>34</v>
      </c>
      <c r="K3" s="96">
        <v>3.9E-2</v>
      </c>
      <c r="L3" s="85">
        <v>16</v>
      </c>
      <c r="M3" s="95">
        <v>5</v>
      </c>
      <c r="N3" s="96">
        <v>37</v>
      </c>
      <c r="O3" s="96">
        <v>37</v>
      </c>
      <c r="P3" s="95">
        <v>110</v>
      </c>
      <c r="Q3" s="95">
        <v>40</v>
      </c>
      <c r="R3" s="84">
        <v>28.28</v>
      </c>
      <c r="S3" s="94" t="s">
        <v>158</v>
      </c>
    </row>
    <row r="4" spans="1:19" x14ac:dyDescent="0.25">
      <c r="A4" s="93">
        <v>3</v>
      </c>
      <c r="B4" s="87" t="s">
        <v>138</v>
      </c>
      <c r="C4" s="87" t="s">
        <v>161</v>
      </c>
      <c r="D4" s="92" t="s">
        <v>175</v>
      </c>
      <c r="E4" s="91" t="s">
        <v>174</v>
      </c>
      <c r="F4" s="90">
        <v>800</v>
      </c>
      <c r="G4" s="89">
        <v>0.5</v>
      </c>
      <c r="H4" s="87">
        <v>222</v>
      </c>
      <c r="I4" s="87" t="s">
        <v>149</v>
      </c>
      <c r="J4" s="87">
        <v>20</v>
      </c>
      <c r="K4" s="88">
        <v>0.16900000000000001</v>
      </c>
      <c r="L4" s="85" t="s">
        <v>173</v>
      </c>
      <c r="M4" s="85">
        <v>5</v>
      </c>
      <c r="N4" s="87">
        <v>28</v>
      </c>
      <c r="O4" s="86">
        <v>32</v>
      </c>
      <c r="P4" s="85">
        <v>66</v>
      </c>
      <c r="Q4" s="85">
        <v>25</v>
      </c>
      <c r="R4" s="84">
        <v>16.7</v>
      </c>
      <c r="S4" s="83" t="s">
        <v>158</v>
      </c>
    </row>
    <row r="5" spans="1:19" x14ac:dyDescent="0.25">
      <c r="A5" s="93">
        <v>4</v>
      </c>
      <c r="B5" s="87" t="s">
        <v>138</v>
      </c>
      <c r="C5" s="87" t="s">
        <v>161</v>
      </c>
      <c r="D5" s="92" t="s">
        <v>172</v>
      </c>
      <c r="E5" s="91" t="s">
        <v>159</v>
      </c>
      <c r="F5" s="90">
        <v>650</v>
      </c>
      <c r="G5" s="89">
        <v>0.5</v>
      </c>
      <c r="H5" s="87">
        <v>250</v>
      </c>
      <c r="I5" s="87">
        <v>14</v>
      </c>
      <c r="J5" s="87">
        <v>17</v>
      </c>
      <c r="K5" s="88">
        <v>0.17799999999999999</v>
      </c>
      <c r="L5" s="85">
        <v>14</v>
      </c>
      <c r="M5" s="85">
        <v>4</v>
      </c>
      <c r="N5" s="87">
        <v>35</v>
      </c>
      <c r="O5" s="86">
        <v>25</v>
      </c>
      <c r="P5" s="85">
        <v>58</v>
      </c>
      <c r="Q5" s="85">
        <v>25</v>
      </c>
      <c r="R5" s="84">
        <v>25.11</v>
      </c>
      <c r="S5" s="83" t="s">
        <v>158</v>
      </c>
    </row>
    <row r="6" spans="1:19" x14ac:dyDescent="0.25">
      <c r="A6" s="93">
        <v>5</v>
      </c>
      <c r="B6" s="87" t="s">
        <v>138</v>
      </c>
      <c r="C6" s="87" t="s">
        <v>161</v>
      </c>
      <c r="D6" s="92" t="s">
        <v>171</v>
      </c>
      <c r="E6" s="91" t="s">
        <v>170</v>
      </c>
      <c r="F6" s="90">
        <v>850</v>
      </c>
      <c r="G6" s="89">
        <v>0.6</v>
      </c>
      <c r="H6" s="87">
        <v>250</v>
      </c>
      <c r="I6" s="87">
        <v>19</v>
      </c>
      <c r="J6" s="87">
        <v>23</v>
      </c>
      <c r="K6" s="88">
        <v>0.10100000000000001</v>
      </c>
      <c r="L6" s="85">
        <v>14</v>
      </c>
      <c r="M6" s="85">
        <v>4</v>
      </c>
      <c r="N6" s="87">
        <v>35</v>
      </c>
      <c r="O6" s="86">
        <v>25</v>
      </c>
      <c r="P6" s="85">
        <v>58</v>
      </c>
      <c r="Q6" s="85">
        <v>25</v>
      </c>
      <c r="R6" s="84">
        <v>27.6</v>
      </c>
      <c r="S6" s="83" t="s">
        <v>158</v>
      </c>
    </row>
    <row r="7" spans="1:19" x14ac:dyDescent="0.25">
      <c r="A7" s="93">
        <v>6</v>
      </c>
      <c r="B7" s="87" t="s">
        <v>138</v>
      </c>
      <c r="C7" s="87" t="s">
        <v>161</v>
      </c>
      <c r="D7" s="92" t="s">
        <v>169</v>
      </c>
      <c r="E7" s="91" t="s">
        <v>162</v>
      </c>
      <c r="F7" s="90">
        <v>390</v>
      </c>
      <c r="G7" s="89">
        <v>0.25</v>
      </c>
      <c r="H7" s="87">
        <v>300</v>
      </c>
      <c r="I7" s="87">
        <v>11</v>
      </c>
      <c r="J7" s="87">
        <v>15</v>
      </c>
      <c r="K7" s="88">
        <v>0.17</v>
      </c>
      <c r="L7" s="85">
        <v>22</v>
      </c>
      <c r="M7" s="85">
        <v>6</v>
      </c>
      <c r="N7" s="87">
        <v>47.5</v>
      </c>
      <c r="O7" s="86">
        <v>25</v>
      </c>
      <c r="P7" s="85">
        <v>98</v>
      </c>
      <c r="Q7" s="85">
        <v>40</v>
      </c>
      <c r="R7" s="84">
        <v>30.99</v>
      </c>
      <c r="S7" s="83" t="s">
        <v>158</v>
      </c>
    </row>
    <row r="8" spans="1:19" x14ac:dyDescent="0.25">
      <c r="A8" s="93">
        <v>7</v>
      </c>
      <c r="B8" s="87" t="s">
        <v>138</v>
      </c>
      <c r="C8" s="87" t="s">
        <v>161</v>
      </c>
      <c r="D8" s="92" t="s">
        <v>168</v>
      </c>
      <c r="E8" s="91" t="s">
        <v>167</v>
      </c>
      <c r="F8" s="90">
        <v>490</v>
      </c>
      <c r="G8" s="89">
        <v>0.45</v>
      </c>
      <c r="H8" s="87">
        <v>300</v>
      </c>
      <c r="I8" s="87">
        <v>12</v>
      </c>
      <c r="J8" s="87">
        <v>17</v>
      </c>
      <c r="K8" s="88">
        <v>0.104</v>
      </c>
      <c r="L8" s="85">
        <v>22</v>
      </c>
      <c r="M8" s="85">
        <v>6</v>
      </c>
      <c r="N8" s="87">
        <v>47.5</v>
      </c>
      <c r="O8" s="86">
        <v>25</v>
      </c>
      <c r="P8" s="85">
        <v>98</v>
      </c>
      <c r="Q8" s="85" t="s">
        <v>166</v>
      </c>
      <c r="R8" s="84">
        <v>30.99</v>
      </c>
      <c r="S8" s="83" t="s">
        <v>158</v>
      </c>
    </row>
    <row r="9" spans="1:19" x14ac:dyDescent="0.25">
      <c r="A9" s="93">
        <v>8</v>
      </c>
      <c r="B9" s="87" t="s">
        <v>138</v>
      </c>
      <c r="C9" s="87" t="s">
        <v>161</v>
      </c>
      <c r="D9" s="92" t="s">
        <v>165</v>
      </c>
      <c r="E9" s="91" t="s">
        <v>159</v>
      </c>
      <c r="F9" s="90">
        <v>570</v>
      </c>
      <c r="G9" s="89">
        <v>0.65</v>
      </c>
      <c r="H9" s="87">
        <v>310</v>
      </c>
      <c r="I9" s="87">
        <v>15</v>
      </c>
      <c r="J9" s="87">
        <v>21</v>
      </c>
      <c r="K9" s="88">
        <v>9.1999999999999998E-2</v>
      </c>
      <c r="L9" s="85">
        <v>22</v>
      </c>
      <c r="M9" s="85">
        <v>6</v>
      </c>
      <c r="N9" s="87">
        <v>47.5</v>
      </c>
      <c r="O9" s="86">
        <v>25</v>
      </c>
      <c r="P9" s="85">
        <v>98</v>
      </c>
      <c r="Q9" s="85">
        <v>25</v>
      </c>
      <c r="R9" s="84">
        <v>30.99</v>
      </c>
      <c r="S9" s="83" t="s">
        <v>158</v>
      </c>
    </row>
    <row r="10" spans="1:19" x14ac:dyDescent="0.25">
      <c r="A10" s="93">
        <v>9</v>
      </c>
      <c r="B10" s="87" t="s">
        <v>138</v>
      </c>
      <c r="C10" s="87" t="s">
        <v>161</v>
      </c>
      <c r="D10" s="92" t="s">
        <v>164</v>
      </c>
      <c r="E10" s="91" t="s">
        <v>159</v>
      </c>
      <c r="F10" s="90">
        <v>690</v>
      </c>
      <c r="G10" s="89">
        <v>0.85</v>
      </c>
      <c r="H10" s="87">
        <v>320</v>
      </c>
      <c r="I10" s="87">
        <v>16</v>
      </c>
      <c r="J10" s="87">
        <v>22</v>
      </c>
      <c r="K10" s="88">
        <v>5.1999999999999998E-2</v>
      </c>
      <c r="L10" s="85">
        <v>22</v>
      </c>
      <c r="M10" s="85">
        <v>6</v>
      </c>
      <c r="N10" s="87">
        <v>47.5</v>
      </c>
      <c r="O10" s="86">
        <v>25</v>
      </c>
      <c r="P10" s="85">
        <v>95</v>
      </c>
      <c r="Q10" s="85">
        <v>25</v>
      </c>
      <c r="R10" s="84">
        <v>30.99</v>
      </c>
      <c r="S10" s="83" t="s">
        <v>158</v>
      </c>
    </row>
    <row r="11" spans="1:19" x14ac:dyDescent="0.25">
      <c r="A11" s="93">
        <v>10</v>
      </c>
      <c r="B11" s="87" t="s">
        <v>138</v>
      </c>
      <c r="C11" s="87" t="s">
        <v>161</v>
      </c>
      <c r="D11" s="92" t="s">
        <v>163</v>
      </c>
      <c r="E11" s="91" t="s">
        <v>162</v>
      </c>
      <c r="F11" s="90">
        <v>390</v>
      </c>
      <c r="G11" s="89">
        <v>0.2</v>
      </c>
      <c r="H11" s="87">
        <v>330</v>
      </c>
      <c r="I11" s="87">
        <v>11</v>
      </c>
      <c r="J11" s="87">
        <v>15</v>
      </c>
      <c r="K11" s="88">
        <v>0.24</v>
      </c>
      <c r="L11" s="85">
        <v>16</v>
      </c>
      <c r="M11" s="85">
        <v>6</v>
      </c>
      <c r="N11" s="87">
        <v>42</v>
      </c>
      <c r="O11" s="86">
        <v>24.5</v>
      </c>
      <c r="P11" s="85">
        <v>86</v>
      </c>
      <c r="Q11" s="85">
        <v>40</v>
      </c>
      <c r="R11" s="84">
        <v>27.99</v>
      </c>
      <c r="S11" s="83" t="s">
        <v>158</v>
      </c>
    </row>
    <row r="12" spans="1:19" x14ac:dyDescent="0.25">
      <c r="A12" s="93">
        <v>11</v>
      </c>
      <c r="B12" s="87" t="s">
        <v>138</v>
      </c>
      <c r="C12" s="87" t="s">
        <v>161</v>
      </c>
      <c r="D12" s="92" t="s">
        <v>160</v>
      </c>
      <c r="E12" s="91" t="s">
        <v>159</v>
      </c>
      <c r="F12" s="90">
        <v>610</v>
      </c>
      <c r="G12" s="89">
        <v>0.3</v>
      </c>
      <c r="H12" s="87">
        <v>330</v>
      </c>
      <c r="I12" s="87">
        <v>16</v>
      </c>
      <c r="J12" s="87">
        <v>22</v>
      </c>
      <c r="K12" s="88">
        <v>9.0999999999999998E-2</v>
      </c>
      <c r="L12" s="85">
        <v>16</v>
      </c>
      <c r="M12" s="85">
        <v>6</v>
      </c>
      <c r="N12" s="87">
        <v>42</v>
      </c>
      <c r="O12" s="86">
        <v>24.5</v>
      </c>
      <c r="P12" s="85">
        <v>86</v>
      </c>
      <c r="Q12" s="85">
        <v>25</v>
      </c>
      <c r="R12" s="84">
        <v>27.99</v>
      </c>
      <c r="S12" s="83" t="s">
        <v>158</v>
      </c>
    </row>
    <row r="13" spans="1:19" x14ac:dyDescent="0.25">
      <c r="B13" s="82"/>
      <c r="C13" s="82"/>
      <c r="D13" s="78"/>
      <c r="E13" s="81"/>
      <c r="F13" s="80"/>
      <c r="G13" s="79"/>
      <c r="H13" s="78"/>
      <c r="I13" s="78"/>
      <c r="J13" s="78"/>
      <c r="K13" s="78"/>
      <c r="L13" s="78"/>
      <c r="M13" s="78"/>
      <c r="N13" s="78"/>
      <c r="O13" s="78"/>
      <c r="P13" s="120">
        <f ca="1">NOW()</f>
        <v>41728.917042592591</v>
      </c>
      <c r="Q13" s="121"/>
      <c r="R13" s="121"/>
      <c r="S13" s="121"/>
    </row>
  </sheetData>
  <mergeCells count="1">
    <mergeCell ref="P13:S13"/>
  </mergeCells>
  <hyperlinks>
    <hyperlink ref="S4" r:id="rId1"/>
    <hyperlink ref="S8" r:id="rId2"/>
    <hyperlink ref="S9" r:id="rId3"/>
    <hyperlink ref="S10" r:id="rId4"/>
    <hyperlink ref="S7" r:id="rId5"/>
    <hyperlink ref="S6" r:id="rId6"/>
    <hyperlink ref="S11" r:id="rId7"/>
    <hyperlink ref="S5" r:id="rId8"/>
    <hyperlink ref="S12" r:id="rId9"/>
    <hyperlink ref="S3" r:id="rId10"/>
    <hyperlink ref="S2" r:id="rId11"/>
  </hyperlinks>
  <pageMargins left="0.7" right="0.7" top="0.75" bottom="0.75" header="0.3" footer="0.3"/>
  <pageSetup scale="92" orientation="landscape" horizontalDpi="0" verticalDpi="0"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"/>
  <sheetViews>
    <sheetView tabSelected="1" view="pageLayout" zoomScale="50" zoomScalePageLayoutView="50" workbookViewId="0">
      <selection sqref="A1:H1"/>
    </sheetView>
  </sheetViews>
  <sheetFormatPr defaultColWidth="8.875" defaultRowHeight="15.75" x14ac:dyDescent="0.25"/>
  <cols>
    <col min="1" max="1" width="11.375" bestFit="1" customWidth="1"/>
    <col min="2" max="2" width="40.875" customWidth="1"/>
    <col min="3" max="4" width="7.375" bestFit="1" customWidth="1"/>
    <col min="5" max="5" width="7.375" style="63" bestFit="1" customWidth="1"/>
    <col min="6" max="6" width="7.375" bestFit="1" customWidth="1"/>
    <col min="7" max="7" width="9.875" customWidth="1"/>
    <col min="8" max="8" width="123.875" bestFit="1" customWidth="1"/>
  </cols>
  <sheetData>
    <row r="1" spans="1:8" s="24" customFormat="1" ht="135" customHeight="1" x14ac:dyDescent="0.25">
      <c r="A1" s="75" t="s">
        <v>157</v>
      </c>
      <c r="B1" s="75" t="s">
        <v>156</v>
      </c>
      <c r="C1" s="73" t="s">
        <v>155</v>
      </c>
      <c r="D1" s="73" t="s">
        <v>154</v>
      </c>
      <c r="E1" s="74" t="s">
        <v>153</v>
      </c>
      <c r="F1" s="73" t="s">
        <v>2</v>
      </c>
      <c r="G1" s="72" t="s">
        <v>152</v>
      </c>
      <c r="H1" s="71"/>
    </row>
    <row r="2" spans="1:8" ht="23.25" x14ac:dyDescent="0.3">
      <c r="A2" s="69" t="s">
        <v>138</v>
      </c>
      <c r="B2" s="70" t="s">
        <v>151</v>
      </c>
      <c r="C2" s="69">
        <v>18</v>
      </c>
      <c r="D2" s="69">
        <v>22</v>
      </c>
      <c r="E2" s="68" t="s">
        <v>133</v>
      </c>
      <c r="F2" s="69">
        <v>19</v>
      </c>
      <c r="G2" s="66">
        <v>12.15</v>
      </c>
      <c r="H2" s="65"/>
    </row>
    <row r="3" spans="1:8" ht="23.25" x14ac:dyDescent="0.3">
      <c r="A3" s="69" t="s">
        <v>135</v>
      </c>
      <c r="B3" s="70" t="s">
        <v>150</v>
      </c>
      <c r="C3" s="69">
        <v>18</v>
      </c>
      <c r="D3" s="69" t="s">
        <v>149</v>
      </c>
      <c r="E3" s="68" t="s">
        <v>133</v>
      </c>
      <c r="F3" s="67">
        <v>25</v>
      </c>
      <c r="G3" s="66">
        <v>13.95</v>
      </c>
      <c r="H3" s="65"/>
    </row>
    <row r="4" spans="1:8" ht="23.25" x14ac:dyDescent="0.3">
      <c r="A4" s="69" t="s">
        <v>135</v>
      </c>
      <c r="B4" s="70" t="s">
        <v>148</v>
      </c>
      <c r="C4" s="69">
        <v>22</v>
      </c>
      <c r="D4" s="69">
        <v>25</v>
      </c>
      <c r="E4" s="68" t="s">
        <v>133</v>
      </c>
      <c r="F4" s="67">
        <v>28</v>
      </c>
      <c r="G4" s="66">
        <v>14.95</v>
      </c>
      <c r="H4" s="65"/>
    </row>
    <row r="5" spans="1:8" ht="23.25" x14ac:dyDescent="0.3">
      <c r="A5" s="69" t="s">
        <v>138</v>
      </c>
      <c r="B5" s="70" t="s">
        <v>147</v>
      </c>
      <c r="C5" s="69">
        <v>25</v>
      </c>
      <c r="D5" s="69">
        <v>35</v>
      </c>
      <c r="E5" s="68" t="s">
        <v>133</v>
      </c>
      <c r="F5" s="67">
        <v>22</v>
      </c>
      <c r="G5" s="66">
        <v>12.61</v>
      </c>
      <c r="H5" s="65"/>
    </row>
    <row r="6" spans="1:8" ht="23.25" x14ac:dyDescent="0.25">
      <c r="A6" s="69" t="s">
        <v>138</v>
      </c>
      <c r="B6" s="70" t="s">
        <v>146</v>
      </c>
      <c r="C6" s="69">
        <v>25</v>
      </c>
      <c r="D6" s="69">
        <v>28</v>
      </c>
      <c r="E6" s="68" t="s">
        <v>133</v>
      </c>
      <c r="F6" s="67">
        <v>22</v>
      </c>
      <c r="G6" s="66">
        <v>16.04</v>
      </c>
      <c r="H6" s="29" t="s">
        <v>145</v>
      </c>
    </row>
    <row r="7" spans="1:8" ht="23.25" x14ac:dyDescent="0.25">
      <c r="A7" s="69" t="s">
        <v>138</v>
      </c>
      <c r="B7" s="70" t="s">
        <v>144</v>
      </c>
      <c r="C7" s="69">
        <v>25</v>
      </c>
      <c r="D7" s="69">
        <v>35</v>
      </c>
      <c r="E7" s="68" t="s">
        <v>133</v>
      </c>
      <c r="F7" s="67">
        <v>25</v>
      </c>
      <c r="G7" s="66">
        <v>10.71</v>
      </c>
      <c r="H7" s="29" t="s">
        <v>143</v>
      </c>
    </row>
    <row r="8" spans="1:8" ht="23.25" x14ac:dyDescent="0.3">
      <c r="A8" s="69" t="s">
        <v>138</v>
      </c>
      <c r="B8" s="70" t="s">
        <v>142</v>
      </c>
      <c r="C8" s="69">
        <v>30</v>
      </c>
      <c r="D8" s="69">
        <v>40</v>
      </c>
      <c r="E8" s="68" t="s">
        <v>133</v>
      </c>
      <c r="F8" s="67">
        <v>25</v>
      </c>
      <c r="G8" s="66">
        <v>12.19</v>
      </c>
      <c r="H8" s="65"/>
    </row>
    <row r="9" spans="1:8" ht="23.25" x14ac:dyDescent="0.3">
      <c r="A9" s="69" t="s">
        <v>135</v>
      </c>
      <c r="B9" s="70" t="s">
        <v>141</v>
      </c>
      <c r="C9" s="69">
        <v>30</v>
      </c>
      <c r="D9" s="69">
        <v>35</v>
      </c>
      <c r="E9" s="68" t="s">
        <v>133</v>
      </c>
      <c r="F9" s="67">
        <v>30</v>
      </c>
      <c r="G9" s="66">
        <v>16.95</v>
      </c>
      <c r="H9" s="65"/>
    </row>
    <row r="10" spans="1:8" ht="23.25" x14ac:dyDescent="0.25">
      <c r="A10" s="69" t="s">
        <v>138</v>
      </c>
      <c r="B10" s="70" t="s">
        <v>140</v>
      </c>
      <c r="C10" s="69">
        <v>30</v>
      </c>
      <c r="D10" s="69">
        <v>40</v>
      </c>
      <c r="E10" s="68" t="s">
        <v>133</v>
      </c>
      <c r="F10" s="67">
        <v>23</v>
      </c>
      <c r="G10" s="66">
        <v>17.649999999999999</v>
      </c>
      <c r="H10" s="29" t="s">
        <v>139</v>
      </c>
    </row>
    <row r="11" spans="1:8" ht="23.25" x14ac:dyDescent="0.3">
      <c r="A11" s="69" t="s">
        <v>138</v>
      </c>
      <c r="B11" s="69" t="s">
        <v>137</v>
      </c>
      <c r="C11" s="69">
        <v>40</v>
      </c>
      <c r="D11" s="69">
        <v>55</v>
      </c>
      <c r="E11" s="68" t="s">
        <v>136</v>
      </c>
      <c r="F11" s="67">
        <v>33</v>
      </c>
      <c r="G11" s="66">
        <v>22.17</v>
      </c>
      <c r="H11" s="65"/>
    </row>
    <row r="12" spans="1:8" ht="23.25" x14ac:dyDescent="0.3">
      <c r="A12" s="69" t="s">
        <v>135</v>
      </c>
      <c r="B12" s="70" t="s">
        <v>134</v>
      </c>
      <c r="C12" s="69">
        <v>40</v>
      </c>
      <c r="D12" s="69">
        <v>45</v>
      </c>
      <c r="E12" s="68" t="s">
        <v>133</v>
      </c>
      <c r="F12" s="67">
        <v>38</v>
      </c>
      <c r="G12" s="66">
        <v>19.95</v>
      </c>
      <c r="H12" s="65"/>
    </row>
    <row r="19" spans="2:2" ht="28.5" x14ac:dyDescent="0.25">
      <c r="B19" s="64" t="s">
        <v>132</v>
      </c>
    </row>
    <row r="20" spans="2:2" x14ac:dyDescent="0.25">
      <c r="B20" s="29" t="s">
        <v>131</v>
      </c>
    </row>
    <row r="21" spans="2:2" x14ac:dyDescent="0.25">
      <c r="B21" s="29" t="s">
        <v>130</v>
      </c>
    </row>
    <row r="22" spans="2:2" x14ac:dyDescent="0.25">
      <c r="B22" s="29" t="s">
        <v>129</v>
      </c>
    </row>
    <row r="23" spans="2:2" x14ac:dyDescent="0.25">
      <c r="B23" s="29" t="s">
        <v>128</v>
      </c>
    </row>
  </sheetData>
  <hyperlinks>
    <hyperlink ref="H6" r:id="rId1"/>
    <hyperlink ref="H10" r:id="rId2"/>
    <hyperlink ref="H7" r:id="rId3"/>
    <hyperlink ref="B23" r:id="rId4"/>
    <hyperlink ref="B21" r:id="rId5"/>
    <hyperlink ref="B22" r:id="rId6"/>
    <hyperlink ref="B20" r:id="rId7"/>
  </hyperlinks>
  <pageMargins left="0.7" right="0.7" top="0.75" bottom="0.75" header="0.3" footer="0.3"/>
  <pageSetup scale="51" fitToHeight="0" orientation="landscape" horizontalDpi="4294967292" verticalDpi="4294967292"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100"/>
  <sheetViews>
    <sheetView zoomScale="35" zoomScaleNormal="35" zoomScalePageLayoutView="34" workbookViewId="0">
      <selection activeCell="I27" sqref="I27"/>
    </sheetView>
  </sheetViews>
  <sheetFormatPr defaultRowHeight="28.5" x14ac:dyDescent="0.45"/>
  <cols>
    <col min="1" max="1" width="18.875" style="37" customWidth="1"/>
    <col min="2" max="2" width="23.75" style="37" bestFit="1" customWidth="1"/>
    <col min="3" max="3" width="27.125" style="37" bestFit="1" customWidth="1"/>
    <col min="4" max="4" width="106.625" style="37" customWidth="1"/>
    <col min="5" max="5" width="10.5" style="37" customWidth="1"/>
    <col min="6" max="6" width="33.125" style="37" customWidth="1"/>
    <col min="7" max="7" width="31.875" style="55" customWidth="1"/>
    <col min="8" max="8" width="32.875" style="37" bestFit="1" customWidth="1"/>
    <col min="9" max="9" width="31.5" style="37" bestFit="1" customWidth="1"/>
    <col min="10" max="16384" width="9" style="37"/>
  </cols>
  <sheetData>
    <row r="1" spans="1:9" x14ac:dyDescent="0.45">
      <c r="A1" s="37" t="s">
        <v>89</v>
      </c>
      <c r="H1" s="122">
        <f ca="1">NOW()</f>
        <v>41728.917042592591</v>
      </c>
      <c r="I1" s="122"/>
    </row>
    <row r="2" spans="1:9" x14ac:dyDescent="0.45">
      <c r="A2" s="38" t="s">
        <v>3</v>
      </c>
      <c r="B2" s="38" t="s">
        <v>17</v>
      </c>
      <c r="C2" s="38" t="s">
        <v>0</v>
      </c>
      <c r="D2" s="38" t="s">
        <v>71</v>
      </c>
      <c r="E2" s="38" t="s">
        <v>16</v>
      </c>
      <c r="F2" s="38" t="s">
        <v>46</v>
      </c>
      <c r="G2" s="38" t="s">
        <v>8</v>
      </c>
      <c r="H2" s="39" t="s">
        <v>11</v>
      </c>
      <c r="I2" s="39" t="s">
        <v>7</v>
      </c>
    </row>
    <row r="3" spans="1:9" x14ac:dyDescent="0.45">
      <c r="A3" s="40">
        <v>1</v>
      </c>
      <c r="B3" s="40" t="s">
        <v>6</v>
      </c>
      <c r="C3" s="41" t="s">
        <v>70</v>
      </c>
      <c r="D3" s="41" t="s">
        <v>101</v>
      </c>
      <c r="E3" s="40">
        <v>1</v>
      </c>
      <c r="F3" s="42">
        <v>242</v>
      </c>
      <c r="G3" s="40">
        <f t="shared" ref="G3:G10" si="0">F3*E3</f>
        <v>242</v>
      </c>
      <c r="H3" s="43">
        <v>56.39</v>
      </c>
      <c r="I3" s="44">
        <f t="shared" ref="I3:I10" si="1">H3*E3</f>
        <v>56.39</v>
      </c>
    </row>
    <row r="4" spans="1:9" x14ac:dyDescent="0.45">
      <c r="A4" s="40">
        <v>2</v>
      </c>
      <c r="B4" s="40" t="s">
        <v>30</v>
      </c>
      <c r="C4" s="41" t="s">
        <v>4</v>
      </c>
      <c r="D4" s="41" t="s">
        <v>5</v>
      </c>
      <c r="E4" s="40">
        <v>1</v>
      </c>
      <c r="F4" s="40">
        <v>18</v>
      </c>
      <c r="G4" s="40">
        <f t="shared" si="0"/>
        <v>18</v>
      </c>
      <c r="H4" s="44">
        <v>29.99</v>
      </c>
      <c r="I4" s="44">
        <f t="shared" si="1"/>
        <v>29.99</v>
      </c>
    </row>
    <row r="5" spans="1:9" x14ac:dyDescent="0.45">
      <c r="A5" s="40">
        <v>3</v>
      </c>
      <c r="B5" s="40" t="s">
        <v>30</v>
      </c>
      <c r="C5" s="41" t="s">
        <v>15</v>
      </c>
      <c r="D5" s="41" t="s">
        <v>99</v>
      </c>
      <c r="E5" s="40">
        <v>1</v>
      </c>
      <c r="F5" s="40">
        <v>18</v>
      </c>
      <c r="G5" s="40">
        <f t="shared" si="0"/>
        <v>18</v>
      </c>
      <c r="H5" s="44">
        <v>9.11</v>
      </c>
      <c r="I5" s="44">
        <f t="shared" si="1"/>
        <v>9.11</v>
      </c>
    </row>
    <row r="6" spans="1:9" x14ac:dyDescent="0.45">
      <c r="A6" s="40">
        <v>4</v>
      </c>
      <c r="B6" s="40" t="s">
        <v>31</v>
      </c>
      <c r="C6" s="41" t="s">
        <v>52</v>
      </c>
      <c r="D6" s="41" t="s">
        <v>53</v>
      </c>
      <c r="E6" s="40">
        <v>1</v>
      </c>
      <c r="F6" s="40">
        <v>10</v>
      </c>
      <c r="G6" s="40">
        <f t="shared" si="0"/>
        <v>10</v>
      </c>
      <c r="H6" s="44">
        <v>0</v>
      </c>
      <c r="I6" s="44">
        <f t="shared" si="1"/>
        <v>0</v>
      </c>
    </row>
    <row r="7" spans="1:9" x14ac:dyDescent="0.45">
      <c r="A7" s="40">
        <v>5</v>
      </c>
      <c r="B7" s="40" t="s">
        <v>73</v>
      </c>
      <c r="C7" s="41" t="s">
        <v>74</v>
      </c>
      <c r="D7" s="41" t="s">
        <v>76</v>
      </c>
      <c r="E7" s="40">
        <v>1</v>
      </c>
      <c r="F7" s="40">
        <v>195</v>
      </c>
      <c r="G7" s="40">
        <f t="shared" si="0"/>
        <v>195</v>
      </c>
      <c r="H7" s="44">
        <v>0</v>
      </c>
      <c r="I7" s="44">
        <f t="shared" si="1"/>
        <v>0</v>
      </c>
    </row>
    <row r="8" spans="1:9" x14ac:dyDescent="0.45">
      <c r="A8" s="40">
        <v>6</v>
      </c>
      <c r="B8" s="40" t="s">
        <v>73</v>
      </c>
      <c r="C8" s="41" t="s">
        <v>75</v>
      </c>
      <c r="D8" s="41" t="s">
        <v>77</v>
      </c>
      <c r="E8" s="40">
        <v>1</v>
      </c>
      <c r="F8" s="40">
        <v>75</v>
      </c>
      <c r="G8" s="40">
        <f t="shared" si="0"/>
        <v>75</v>
      </c>
      <c r="H8" s="44">
        <v>0</v>
      </c>
      <c r="I8" s="44">
        <f t="shared" si="1"/>
        <v>0</v>
      </c>
    </row>
    <row r="9" spans="1:9" x14ac:dyDescent="0.45">
      <c r="A9" s="40">
        <v>7</v>
      </c>
      <c r="B9" s="40" t="s">
        <v>6</v>
      </c>
      <c r="C9" s="41" t="s">
        <v>88</v>
      </c>
      <c r="D9" s="41" t="s">
        <v>98</v>
      </c>
      <c r="E9" s="40">
        <v>1</v>
      </c>
      <c r="F9" s="40">
        <v>284</v>
      </c>
      <c r="G9" s="40">
        <f t="shared" si="0"/>
        <v>284</v>
      </c>
      <c r="H9" s="44">
        <v>45.89</v>
      </c>
      <c r="I9" s="44">
        <f t="shared" si="1"/>
        <v>45.89</v>
      </c>
    </row>
    <row r="10" spans="1:9" x14ac:dyDescent="0.45">
      <c r="A10" s="40">
        <v>8</v>
      </c>
      <c r="B10" s="40" t="s">
        <v>31</v>
      </c>
      <c r="C10" s="41" t="s">
        <v>126</v>
      </c>
      <c r="D10" s="41" t="s">
        <v>127</v>
      </c>
      <c r="E10" s="40">
        <v>4</v>
      </c>
      <c r="F10" s="40">
        <v>15</v>
      </c>
      <c r="G10" s="40">
        <f t="shared" si="0"/>
        <v>60</v>
      </c>
      <c r="H10" s="44">
        <v>6</v>
      </c>
      <c r="I10" s="44">
        <f t="shared" si="1"/>
        <v>24</v>
      </c>
    </row>
    <row r="11" spans="1:9" x14ac:dyDescent="0.45">
      <c r="A11" s="45" t="s">
        <v>10</v>
      </c>
      <c r="B11" s="45"/>
      <c r="C11" s="45"/>
      <c r="D11" s="45" t="s">
        <v>90</v>
      </c>
      <c r="E11" s="38">
        <f>SUM(E3:E10)</f>
        <v>11</v>
      </c>
      <c r="F11" s="45" t="s">
        <v>91</v>
      </c>
      <c r="G11" s="38">
        <f>SUM(G3:G10)</f>
        <v>902</v>
      </c>
      <c r="H11" s="46" t="s">
        <v>92</v>
      </c>
      <c r="I11" s="39">
        <f>SUM(I3:I10)</f>
        <v>165.38</v>
      </c>
    </row>
    <row r="12" spans="1:9" x14ac:dyDescent="0.45">
      <c r="A12" s="47" t="s">
        <v>124</v>
      </c>
    </row>
    <row r="13" spans="1:9" x14ac:dyDescent="0.45">
      <c r="A13" s="54">
        <v>1</v>
      </c>
      <c r="B13" s="37" t="s">
        <v>95</v>
      </c>
    </row>
    <row r="14" spans="1:9" x14ac:dyDescent="0.45">
      <c r="A14" s="48" t="s">
        <v>3</v>
      </c>
      <c r="B14" s="38" t="s">
        <v>17</v>
      </c>
      <c r="C14" s="38" t="s">
        <v>0</v>
      </c>
      <c r="D14" s="38" t="s">
        <v>72</v>
      </c>
      <c r="E14" s="38" t="s">
        <v>16</v>
      </c>
      <c r="F14" s="38" t="s">
        <v>46</v>
      </c>
      <c r="G14" s="38" t="s">
        <v>8</v>
      </c>
      <c r="H14" s="39" t="s">
        <v>11</v>
      </c>
      <c r="I14" s="39" t="s">
        <v>7</v>
      </c>
    </row>
    <row r="15" spans="1:9" x14ac:dyDescent="0.45">
      <c r="A15" s="40">
        <v>9</v>
      </c>
      <c r="B15" s="40" t="s">
        <v>30</v>
      </c>
      <c r="C15" s="41" t="s">
        <v>54</v>
      </c>
      <c r="D15" s="41" t="s">
        <v>95</v>
      </c>
      <c r="E15" s="40">
        <v>4</v>
      </c>
      <c r="F15" s="40">
        <v>76</v>
      </c>
      <c r="G15" s="40">
        <f>E15*F15</f>
        <v>304</v>
      </c>
      <c r="H15" s="44">
        <v>25.01</v>
      </c>
      <c r="I15" s="44">
        <f>H15*E15</f>
        <v>100.04</v>
      </c>
    </row>
    <row r="16" spans="1:9" x14ac:dyDescent="0.45">
      <c r="A16" s="40">
        <v>10</v>
      </c>
      <c r="B16" s="40" t="s">
        <v>30</v>
      </c>
      <c r="C16" s="41" t="s">
        <v>56</v>
      </c>
      <c r="D16" s="41" t="s">
        <v>97</v>
      </c>
      <c r="E16" s="40">
        <v>4</v>
      </c>
      <c r="F16" s="40">
        <v>22</v>
      </c>
      <c r="G16" s="40">
        <f t="shared" ref="G16:G17" si="2">E16*F16</f>
        <v>88</v>
      </c>
      <c r="H16" s="44">
        <v>12.61</v>
      </c>
      <c r="I16" s="44">
        <f t="shared" ref="I16:I17" si="3">H16*E16</f>
        <v>50.44</v>
      </c>
    </row>
    <row r="17" spans="1:9" x14ac:dyDescent="0.45">
      <c r="A17" s="40">
        <v>11</v>
      </c>
      <c r="B17" s="40" t="s">
        <v>30</v>
      </c>
      <c r="C17" s="41" t="s">
        <v>12</v>
      </c>
      <c r="D17" s="49" t="s">
        <v>100</v>
      </c>
      <c r="E17" s="40">
        <v>1</v>
      </c>
      <c r="F17" s="40">
        <v>462</v>
      </c>
      <c r="G17" s="40">
        <f t="shared" si="2"/>
        <v>462</v>
      </c>
      <c r="H17" s="44">
        <v>38.81</v>
      </c>
      <c r="I17" s="44">
        <f t="shared" si="3"/>
        <v>38.81</v>
      </c>
    </row>
    <row r="18" spans="1:9" x14ac:dyDescent="0.45">
      <c r="A18" s="45" t="s">
        <v>10</v>
      </c>
      <c r="B18" s="45"/>
      <c r="C18" s="45"/>
      <c r="D18" s="45"/>
      <c r="E18" s="38"/>
      <c r="F18" s="45" t="s">
        <v>94</v>
      </c>
      <c r="G18" s="38">
        <f>SUM(G15:G17)</f>
        <v>854</v>
      </c>
      <c r="H18" s="46" t="s">
        <v>93</v>
      </c>
      <c r="I18" s="39">
        <f>SUM(I15:I17)</f>
        <v>189.29000000000002</v>
      </c>
    </row>
    <row r="19" spans="1:9" x14ac:dyDescent="0.45">
      <c r="A19" s="59"/>
      <c r="B19" s="59"/>
      <c r="C19" s="59"/>
      <c r="D19" s="59"/>
      <c r="E19" s="60"/>
      <c r="F19" s="50" t="s">
        <v>50</v>
      </c>
      <c r="G19" s="51">
        <f>$G$11+G18</f>
        <v>1756</v>
      </c>
      <c r="H19" s="52" t="s">
        <v>51</v>
      </c>
      <c r="I19" s="53">
        <f>$I$11+I18</f>
        <v>354.67</v>
      </c>
    </row>
    <row r="20" spans="1:9" x14ac:dyDescent="0.45">
      <c r="A20" s="61"/>
      <c r="B20" s="62"/>
      <c r="C20" s="62"/>
      <c r="D20" s="62"/>
      <c r="E20" s="62"/>
      <c r="F20" s="57" t="s">
        <v>125</v>
      </c>
      <c r="G20" s="58">
        <f>G19*0.002205</f>
        <v>3.8719799999999998</v>
      </c>
      <c r="H20" s="56"/>
      <c r="I20" s="56"/>
    </row>
    <row r="21" spans="1:9" x14ac:dyDescent="0.45">
      <c r="A21" s="54">
        <v>2</v>
      </c>
      <c r="B21" s="37" t="s">
        <v>96</v>
      </c>
    </row>
    <row r="22" spans="1:9" x14ac:dyDescent="0.45">
      <c r="A22" s="48" t="s">
        <v>3</v>
      </c>
      <c r="B22" s="38" t="s">
        <v>17</v>
      </c>
      <c r="C22" s="38" t="s">
        <v>0</v>
      </c>
      <c r="D22" s="38" t="s">
        <v>72</v>
      </c>
      <c r="E22" s="38" t="s">
        <v>16</v>
      </c>
      <c r="F22" s="38" t="s">
        <v>46</v>
      </c>
      <c r="G22" s="38" t="s">
        <v>8</v>
      </c>
      <c r="H22" s="39" t="s">
        <v>11</v>
      </c>
      <c r="I22" s="39" t="s">
        <v>7</v>
      </c>
    </row>
    <row r="23" spans="1:9" x14ac:dyDescent="0.45">
      <c r="A23" s="40">
        <v>9</v>
      </c>
      <c r="B23" s="40" t="s">
        <v>30</v>
      </c>
      <c r="C23" s="41" t="s">
        <v>54</v>
      </c>
      <c r="D23" s="41" t="s">
        <v>96</v>
      </c>
      <c r="E23" s="40">
        <v>4</v>
      </c>
      <c r="F23" s="40">
        <v>110</v>
      </c>
      <c r="G23" s="40">
        <f>E23*F23</f>
        <v>440</v>
      </c>
      <c r="H23" s="44">
        <v>28.28</v>
      </c>
      <c r="I23" s="44">
        <f>H23*E23</f>
        <v>113.12</v>
      </c>
    </row>
    <row r="24" spans="1:9" x14ac:dyDescent="0.45">
      <c r="A24" s="40">
        <v>10</v>
      </c>
      <c r="B24" s="40" t="s">
        <v>30</v>
      </c>
      <c r="C24" s="41" t="s">
        <v>56</v>
      </c>
      <c r="D24" s="41" t="s">
        <v>78</v>
      </c>
      <c r="E24" s="40">
        <v>4</v>
      </c>
      <c r="F24" s="40">
        <v>33</v>
      </c>
      <c r="G24" s="40">
        <f t="shared" ref="G24:G25" si="4">E24*F24</f>
        <v>132</v>
      </c>
      <c r="H24" s="44">
        <v>22.17</v>
      </c>
      <c r="I24" s="44">
        <f t="shared" ref="I24:I25" si="5">H24*E24</f>
        <v>88.68</v>
      </c>
    </row>
    <row r="25" spans="1:9" x14ac:dyDescent="0.45">
      <c r="A25" s="40">
        <v>11</v>
      </c>
      <c r="B25" s="40" t="s">
        <v>30</v>
      </c>
      <c r="C25" s="41" t="s">
        <v>12</v>
      </c>
      <c r="D25" s="49" t="s">
        <v>100</v>
      </c>
      <c r="E25" s="40">
        <v>1</v>
      </c>
      <c r="F25" s="40">
        <v>462</v>
      </c>
      <c r="G25" s="40">
        <f t="shared" si="4"/>
        <v>462</v>
      </c>
      <c r="H25" s="44">
        <v>38.81</v>
      </c>
      <c r="I25" s="44">
        <f t="shared" si="5"/>
        <v>38.81</v>
      </c>
    </row>
    <row r="26" spans="1:9" x14ac:dyDescent="0.45">
      <c r="A26" s="45" t="s">
        <v>10</v>
      </c>
      <c r="B26" s="45"/>
      <c r="C26" s="45"/>
      <c r="D26" s="45"/>
      <c r="E26" s="38"/>
      <c r="F26" s="45" t="s">
        <v>94</v>
      </c>
      <c r="G26" s="38">
        <f>SUM(G23:G25)</f>
        <v>1034</v>
      </c>
      <c r="H26" s="46" t="s">
        <v>93</v>
      </c>
      <c r="I26" s="39">
        <f>SUM(I23:I25)</f>
        <v>240.61</v>
      </c>
    </row>
    <row r="27" spans="1:9" x14ac:dyDescent="0.45">
      <c r="A27" s="59"/>
      <c r="B27" s="59"/>
      <c r="C27" s="59"/>
      <c r="D27" s="59"/>
      <c r="E27" s="60"/>
      <c r="F27" s="50" t="s">
        <v>50</v>
      </c>
      <c r="G27" s="51">
        <f>$G$11+G26</f>
        <v>1936</v>
      </c>
      <c r="H27" s="52" t="s">
        <v>51</v>
      </c>
      <c r="I27" s="53">
        <f>$I$11+I26</f>
        <v>405.99</v>
      </c>
    </row>
    <row r="28" spans="1:9" x14ac:dyDescent="0.45">
      <c r="A28" s="61"/>
      <c r="B28" s="62"/>
      <c r="C28" s="62"/>
      <c r="D28" s="62"/>
      <c r="E28" s="62"/>
      <c r="F28" s="57" t="s">
        <v>125</v>
      </c>
      <c r="G28" s="58">
        <f>G27*0.002205</f>
        <v>4.2688800000000002</v>
      </c>
      <c r="H28" s="56"/>
      <c r="I28" s="56"/>
    </row>
    <row r="29" spans="1:9" x14ac:dyDescent="0.45">
      <c r="A29" s="54">
        <v>3</v>
      </c>
      <c r="B29" s="37" t="s">
        <v>102</v>
      </c>
    </row>
    <row r="30" spans="1:9" x14ac:dyDescent="0.45">
      <c r="A30" s="48" t="s">
        <v>3</v>
      </c>
      <c r="B30" s="38" t="s">
        <v>17</v>
      </c>
      <c r="C30" s="38" t="s">
        <v>0</v>
      </c>
      <c r="D30" s="38" t="s">
        <v>72</v>
      </c>
      <c r="E30" s="38" t="s">
        <v>16</v>
      </c>
      <c r="F30" s="38" t="s">
        <v>46</v>
      </c>
      <c r="G30" s="38" t="s">
        <v>8</v>
      </c>
      <c r="H30" s="39" t="s">
        <v>11</v>
      </c>
      <c r="I30" s="39" t="s">
        <v>7</v>
      </c>
    </row>
    <row r="31" spans="1:9" x14ac:dyDescent="0.45">
      <c r="A31" s="40">
        <v>9</v>
      </c>
      <c r="B31" s="40" t="s">
        <v>30</v>
      </c>
      <c r="C31" s="41" t="s">
        <v>54</v>
      </c>
      <c r="D31" s="37" t="s">
        <v>111</v>
      </c>
      <c r="E31" s="40">
        <v>4</v>
      </c>
      <c r="F31" s="40">
        <v>66</v>
      </c>
      <c r="G31" s="40">
        <f>E31*F31</f>
        <v>264</v>
      </c>
      <c r="H31" s="44">
        <v>16.7</v>
      </c>
      <c r="I31" s="44">
        <f>H31*E31</f>
        <v>66.8</v>
      </c>
    </row>
    <row r="32" spans="1:9" x14ac:dyDescent="0.45">
      <c r="A32" s="40">
        <v>10</v>
      </c>
      <c r="B32" s="40" t="s">
        <v>30</v>
      </c>
      <c r="C32" s="41" t="s">
        <v>56</v>
      </c>
      <c r="D32" s="41" t="s">
        <v>97</v>
      </c>
      <c r="E32" s="40">
        <v>4</v>
      </c>
      <c r="F32" s="40">
        <v>22</v>
      </c>
      <c r="G32" s="40">
        <f t="shared" ref="G32:G33" si="6">E32*F32</f>
        <v>88</v>
      </c>
      <c r="H32" s="44">
        <v>12.61</v>
      </c>
      <c r="I32" s="44">
        <f t="shared" ref="I32:I33" si="7">H32*E32</f>
        <v>50.44</v>
      </c>
    </row>
    <row r="33" spans="1:9" x14ac:dyDescent="0.45">
      <c r="A33" s="40">
        <v>11</v>
      </c>
      <c r="B33" s="40" t="s">
        <v>30</v>
      </c>
      <c r="C33" s="41" t="s">
        <v>12</v>
      </c>
      <c r="D33" s="49" t="s">
        <v>100</v>
      </c>
      <c r="E33" s="40">
        <v>1</v>
      </c>
      <c r="F33" s="40">
        <v>462</v>
      </c>
      <c r="G33" s="40">
        <f t="shared" si="6"/>
        <v>462</v>
      </c>
      <c r="H33" s="44">
        <v>38.81</v>
      </c>
      <c r="I33" s="44">
        <f t="shared" si="7"/>
        <v>38.81</v>
      </c>
    </row>
    <row r="34" spans="1:9" x14ac:dyDescent="0.45">
      <c r="A34" s="45" t="s">
        <v>10</v>
      </c>
      <c r="B34" s="45"/>
      <c r="C34" s="45"/>
      <c r="D34" s="45"/>
      <c r="E34" s="38"/>
      <c r="F34" s="45" t="s">
        <v>94</v>
      </c>
      <c r="G34" s="38">
        <f>SUM(G31:G33)</f>
        <v>814</v>
      </c>
      <c r="H34" s="46" t="s">
        <v>93</v>
      </c>
      <c r="I34" s="39">
        <f>SUM(I31:I33)</f>
        <v>156.05000000000001</v>
      </c>
    </row>
    <row r="35" spans="1:9" x14ac:dyDescent="0.45">
      <c r="A35" s="59"/>
      <c r="B35" s="59"/>
      <c r="C35" s="59"/>
      <c r="D35" s="59"/>
      <c r="E35" s="60"/>
      <c r="F35" s="50" t="s">
        <v>50</v>
      </c>
      <c r="G35" s="51">
        <f>$G$11+G34</f>
        <v>1716</v>
      </c>
      <c r="H35" s="52" t="s">
        <v>51</v>
      </c>
      <c r="I35" s="53">
        <f>$I$11+I34</f>
        <v>321.43</v>
      </c>
    </row>
    <row r="36" spans="1:9" x14ac:dyDescent="0.45">
      <c r="A36" s="61"/>
      <c r="B36" s="62"/>
      <c r="C36" s="62"/>
      <c r="D36" s="62"/>
      <c r="E36" s="62"/>
      <c r="F36" s="57" t="s">
        <v>125</v>
      </c>
      <c r="G36" s="58">
        <f>G35*0.002205</f>
        <v>3.7837799999999997</v>
      </c>
      <c r="H36" s="56"/>
      <c r="I36" s="56"/>
    </row>
    <row r="37" spans="1:9" x14ac:dyDescent="0.45">
      <c r="A37" s="54">
        <v>4</v>
      </c>
      <c r="B37" s="37" t="s">
        <v>103</v>
      </c>
    </row>
    <row r="38" spans="1:9" x14ac:dyDescent="0.45">
      <c r="A38" s="48" t="s">
        <v>3</v>
      </c>
      <c r="B38" s="38" t="s">
        <v>17</v>
      </c>
      <c r="C38" s="38" t="s">
        <v>0</v>
      </c>
      <c r="D38" s="38" t="s">
        <v>72</v>
      </c>
      <c r="E38" s="38" t="s">
        <v>16</v>
      </c>
      <c r="F38" s="38" t="s">
        <v>46</v>
      </c>
      <c r="G38" s="38" t="s">
        <v>8</v>
      </c>
      <c r="H38" s="39" t="s">
        <v>11</v>
      </c>
      <c r="I38" s="39" t="s">
        <v>7</v>
      </c>
    </row>
    <row r="39" spans="1:9" x14ac:dyDescent="0.45">
      <c r="A39" s="40">
        <v>9</v>
      </c>
      <c r="B39" s="40" t="s">
        <v>30</v>
      </c>
      <c r="C39" s="41" t="s">
        <v>54</v>
      </c>
      <c r="D39" s="37" t="s">
        <v>112</v>
      </c>
      <c r="E39" s="40">
        <v>4</v>
      </c>
      <c r="F39" s="40">
        <v>58</v>
      </c>
      <c r="G39" s="40">
        <f>E39*F39</f>
        <v>232</v>
      </c>
      <c r="H39" s="44">
        <v>25.11</v>
      </c>
      <c r="I39" s="44">
        <f>H39*E39</f>
        <v>100.44</v>
      </c>
    </row>
    <row r="40" spans="1:9" x14ac:dyDescent="0.45">
      <c r="A40" s="40">
        <v>10</v>
      </c>
      <c r="B40" s="40" t="s">
        <v>30</v>
      </c>
      <c r="C40" s="41" t="s">
        <v>56</v>
      </c>
      <c r="D40" s="41" t="s">
        <v>97</v>
      </c>
      <c r="E40" s="40">
        <v>4</v>
      </c>
      <c r="F40" s="40">
        <v>22</v>
      </c>
      <c r="G40" s="40">
        <f t="shared" ref="G40" si="8">E40*F40</f>
        <v>88</v>
      </c>
      <c r="H40" s="44">
        <v>12.61</v>
      </c>
      <c r="I40" s="44">
        <f t="shared" ref="I40:I41" si="9">H40*E40</f>
        <v>50.44</v>
      </c>
    </row>
    <row r="41" spans="1:9" x14ac:dyDescent="0.45">
      <c r="A41" s="40">
        <v>11</v>
      </c>
      <c r="B41" s="40" t="s">
        <v>30</v>
      </c>
      <c r="C41" s="41" t="s">
        <v>12</v>
      </c>
      <c r="D41" s="49" t="s">
        <v>121</v>
      </c>
      <c r="E41" s="40">
        <v>1</v>
      </c>
      <c r="F41" s="40">
        <v>576</v>
      </c>
      <c r="G41" s="40">
        <f t="shared" ref="G41" si="10">E41*F41</f>
        <v>576</v>
      </c>
      <c r="H41" s="44">
        <v>76.59</v>
      </c>
      <c r="I41" s="44">
        <f t="shared" si="9"/>
        <v>76.59</v>
      </c>
    </row>
    <row r="42" spans="1:9" x14ac:dyDescent="0.45">
      <c r="A42" s="45" t="s">
        <v>10</v>
      </c>
      <c r="B42" s="45"/>
      <c r="C42" s="45"/>
      <c r="D42" s="45"/>
      <c r="E42" s="38"/>
      <c r="F42" s="45" t="s">
        <v>94</v>
      </c>
      <c r="G42" s="38">
        <f>SUM(G39:G41)</f>
        <v>896</v>
      </c>
      <c r="H42" s="46" t="s">
        <v>93</v>
      </c>
      <c r="I42" s="39">
        <f>SUM(I39:I41)</f>
        <v>227.47</v>
      </c>
    </row>
    <row r="43" spans="1:9" x14ac:dyDescent="0.45">
      <c r="A43" s="59"/>
      <c r="B43" s="59"/>
      <c r="C43" s="59"/>
      <c r="D43" s="59"/>
      <c r="E43" s="60"/>
      <c r="F43" s="50" t="s">
        <v>50</v>
      </c>
      <c r="G43" s="51">
        <f>$G$11+G42</f>
        <v>1798</v>
      </c>
      <c r="H43" s="52" t="s">
        <v>51</v>
      </c>
      <c r="I43" s="53">
        <f>$I$11+I42</f>
        <v>392.85</v>
      </c>
    </row>
    <row r="44" spans="1:9" x14ac:dyDescent="0.45">
      <c r="A44" s="61"/>
      <c r="B44" s="62"/>
      <c r="C44" s="62"/>
      <c r="D44" s="62"/>
      <c r="E44" s="62"/>
      <c r="F44" s="57" t="s">
        <v>125</v>
      </c>
      <c r="G44" s="58">
        <f>G43*0.002205</f>
        <v>3.9645899999999998</v>
      </c>
      <c r="H44" s="56"/>
      <c r="I44" s="56"/>
    </row>
    <row r="45" spans="1:9" x14ac:dyDescent="0.45">
      <c r="A45" s="54">
        <v>5</v>
      </c>
      <c r="B45" s="37" t="s">
        <v>104</v>
      </c>
    </row>
    <row r="46" spans="1:9" x14ac:dyDescent="0.45">
      <c r="A46" s="48" t="s">
        <v>3</v>
      </c>
      <c r="B46" s="38" t="s">
        <v>17</v>
      </c>
      <c r="C46" s="38" t="s">
        <v>0</v>
      </c>
      <c r="D46" s="38" t="s">
        <v>72</v>
      </c>
      <c r="E46" s="38" t="s">
        <v>16</v>
      </c>
      <c r="F46" s="38" t="s">
        <v>46</v>
      </c>
      <c r="G46" s="38" t="s">
        <v>8</v>
      </c>
      <c r="H46" s="39" t="s">
        <v>11</v>
      </c>
      <c r="I46" s="39" t="s">
        <v>7</v>
      </c>
    </row>
    <row r="47" spans="1:9" x14ac:dyDescent="0.45">
      <c r="A47" s="40">
        <v>9</v>
      </c>
      <c r="B47" s="40" t="s">
        <v>30</v>
      </c>
      <c r="C47" s="41" t="s">
        <v>54</v>
      </c>
      <c r="D47" s="37" t="s">
        <v>113</v>
      </c>
      <c r="E47" s="40">
        <v>4</v>
      </c>
      <c r="F47" s="40">
        <v>58</v>
      </c>
      <c r="G47" s="40">
        <f>E47*F47</f>
        <v>232</v>
      </c>
      <c r="H47" s="44">
        <v>27.6</v>
      </c>
      <c r="I47" s="44">
        <f>H47*E47</f>
        <v>110.4</v>
      </c>
    </row>
    <row r="48" spans="1:9" x14ac:dyDescent="0.45">
      <c r="A48" s="40">
        <v>10</v>
      </c>
      <c r="B48" s="40" t="s">
        <v>30</v>
      </c>
      <c r="C48" s="41" t="s">
        <v>56</v>
      </c>
      <c r="D48" s="41" t="s">
        <v>97</v>
      </c>
      <c r="E48" s="40">
        <v>4</v>
      </c>
      <c r="F48" s="40">
        <v>22</v>
      </c>
      <c r="G48" s="40">
        <f t="shared" ref="G48" si="11">E48*F48</f>
        <v>88</v>
      </c>
      <c r="H48" s="44">
        <v>12.61</v>
      </c>
      <c r="I48" s="44">
        <f t="shared" ref="I48:I49" si="12">H48*E48</f>
        <v>50.44</v>
      </c>
    </row>
    <row r="49" spans="1:9" x14ac:dyDescent="0.45">
      <c r="A49" s="40">
        <v>11</v>
      </c>
      <c r="B49" s="40" t="s">
        <v>30</v>
      </c>
      <c r="C49" s="41" t="s">
        <v>12</v>
      </c>
      <c r="D49" s="49" t="s">
        <v>122</v>
      </c>
      <c r="E49" s="40">
        <v>1</v>
      </c>
      <c r="F49" s="40">
        <v>442</v>
      </c>
      <c r="G49" s="40">
        <f t="shared" ref="G49" si="13">E49*F49</f>
        <v>442</v>
      </c>
      <c r="H49" s="44">
        <v>57.44</v>
      </c>
      <c r="I49" s="44">
        <f t="shared" si="12"/>
        <v>57.44</v>
      </c>
    </row>
    <row r="50" spans="1:9" x14ac:dyDescent="0.45">
      <c r="A50" s="45" t="s">
        <v>10</v>
      </c>
      <c r="B50" s="45"/>
      <c r="C50" s="45"/>
      <c r="D50" s="45"/>
      <c r="E50" s="38"/>
      <c r="F50" s="45" t="s">
        <v>94</v>
      </c>
      <c r="G50" s="38">
        <f>SUM(G47:G49)</f>
        <v>762</v>
      </c>
      <c r="H50" s="46" t="s">
        <v>93</v>
      </c>
      <c r="I50" s="39">
        <f>SUM(I47:I49)</f>
        <v>218.28</v>
      </c>
    </row>
    <row r="51" spans="1:9" x14ac:dyDescent="0.45">
      <c r="A51" s="59"/>
      <c r="B51" s="59"/>
      <c r="C51" s="59"/>
      <c r="D51" s="59"/>
      <c r="E51" s="60"/>
      <c r="F51" s="50" t="s">
        <v>50</v>
      </c>
      <c r="G51" s="51">
        <f>$G$11+G50</f>
        <v>1664</v>
      </c>
      <c r="H51" s="52" t="s">
        <v>51</v>
      </c>
      <c r="I51" s="53">
        <f>$I$11+I50</f>
        <v>383.65999999999997</v>
      </c>
    </row>
    <row r="52" spans="1:9" x14ac:dyDescent="0.45">
      <c r="A52" s="61"/>
      <c r="B52" s="62"/>
      <c r="C52" s="62"/>
      <c r="D52" s="62"/>
      <c r="E52" s="62"/>
      <c r="F52" s="57" t="s">
        <v>125</v>
      </c>
      <c r="G52" s="58">
        <f>G51*0.002205</f>
        <v>3.6691199999999999</v>
      </c>
      <c r="H52" s="56"/>
      <c r="I52" s="56"/>
    </row>
    <row r="53" spans="1:9" x14ac:dyDescent="0.45">
      <c r="A53" s="54">
        <v>6</v>
      </c>
      <c r="B53" s="37" t="s">
        <v>105</v>
      </c>
    </row>
    <row r="54" spans="1:9" x14ac:dyDescent="0.45">
      <c r="A54" s="48" t="s">
        <v>3</v>
      </c>
      <c r="B54" s="38" t="s">
        <v>17</v>
      </c>
      <c r="C54" s="38" t="s">
        <v>0</v>
      </c>
      <c r="D54" s="38" t="s">
        <v>72</v>
      </c>
      <c r="E54" s="38" t="s">
        <v>16</v>
      </c>
      <c r="F54" s="38" t="s">
        <v>46</v>
      </c>
      <c r="G54" s="38" t="s">
        <v>8</v>
      </c>
      <c r="H54" s="39" t="s">
        <v>11</v>
      </c>
      <c r="I54" s="39" t="s">
        <v>7</v>
      </c>
    </row>
    <row r="55" spans="1:9" x14ac:dyDescent="0.45">
      <c r="A55" s="40">
        <v>9</v>
      </c>
      <c r="B55" s="40" t="s">
        <v>30</v>
      </c>
      <c r="C55" s="41" t="s">
        <v>54</v>
      </c>
      <c r="D55" s="37" t="s">
        <v>114</v>
      </c>
      <c r="E55" s="40">
        <v>4</v>
      </c>
      <c r="F55" s="40">
        <v>98</v>
      </c>
      <c r="G55" s="40">
        <f>E55*F55</f>
        <v>392</v>
      </c>
      <c r="H55" s="44">
        <v>30.99</v>
      </c>
      <c r="I55" s="44">
        <f>H55*E55</f>
        <v>123.96</v>
      </c>
    </row>
    <row r="56" spans="1:9" x14ac:dyDescent="0.45">
      <c r="A56" s="40">
        <v>10</v>
      </c>
      <c r="B56" s="40" t="s">
        <v>30</v>
      </c>
      <c r="C56" s="41" t="s">
        <v>56</v>
      </c>
      <c r="D56" s="41" t="s">
        <v>78</v>
      </c>
      <c r="E56" s="40">
        <v>4</v>
      </c>
      <c r="F56" s="40">
        <v>33</v>
      </c>
      <c r="G56" s="40">
        <f t="shared" ref="G56:G57" si="14">E56*F56</f>
        <v>132</v>
      </c>
      <c r="H56" s="44">
        <v>22.17</v>
      </c>
      <c r="I56" s="44">
        <f t="shared" ref="I56:I57" si="15">H56*E56</f>
        <v>88.68</v>
      </c>
    </row>
    <row r="57" spans="1:9" x14ac:dyDescent="0.45">
      <c r="A57" s="40">
        <v>11</v>
      </c>
      <c r="B57" s="40" t="s">
        <v>30</v>
      </c>
      <c r="C57" s="41" t="s">
        <v>12</v>
      </c>
      <c r="D57" s="49" t="s">
        <v>120</v>
      </c>
      <c r="E57" s="40">
        <v>1</v>
      </c>
      <c r="F57" s="40">
        <v>813</v>
      </c>
      <c r="G57" s="40">
        <f t="shared" si="14"/>
        <v>813</v>
      </c>
      <c r="H57" s="44">
        <v>94.81</v>
      </c>
      <c r="I57" s="44">
        <f t="shared" si="15"/>
        <v>94.81</v>
      </c>
    </row>
    <row r="58" spans="1:9" x14ac:dyDescent="0.45">
      <c r="A58" s="45" t="s">
        <v>10</v>
      </c>
      <c r="B58" s="45"/>
      <c r="C58" s="45"/>
      <c r="D58" s="45"/>
      <c r="E58" s="38"/>
      <c r="F58" s="45" t="s">
        <v>94</v>
      </c>
      <c r="G58" s="38">
        <f>SUM(G55:G57)</f>
        <v>1337</v>
      </c>
      <c r="H58" s="46" t="s">
        <v>93</v>
      </c>
      <c r="I58" s="39">
        <f>SUM(I55:I57)</f>
        <v>307.45</v>
      </c>
    </row>
    <row r="59" spans="1:9" x14ac:dyDescent="0.45">
      <c r="A59" s="59"/>
      <c r="B59" s="59"/>
      <c r="C59" s="59"/>
      <c r="D59" s="59"/>
      <c r="E59" s="60"/>
      <c r="F59" s="50" t="s">
        <v>50</v>
      </c>
      <c r="G59" s="51">
        <f>$G$11+G58</f>
        <v>2239</v>
      </c>
      <c r="H59" s="52" t="s">
        <v>51</v>
      </c>
      <c r="I59" s="53">
        <f>$I$11+I58</f>
        <v>472.83</v>
      </c>
    </row>
    <row r="60" spans="1:9" x14ac:dyDescent="0.45">
      <c r="A60" s="61"/>
      <c r="B60" s="62"/>
      <c r="C60" s="62"/>
      <c r="D60" s="62"/>
      <c r="E60" s="62"/>
      <c r="F60" s="57" t="s">
        <v>125</v>
      </c>
      <c r="G60" s="58">
        <f>G59*0.002205</f>
        <v>4.9369949999999996</v>
      </c>
      <c r="H60" s="56"/>
      <c r="I60" s="56"/>
    </row>
    <row r="61" spans="1:9" x14ac:dyDescent="0.45">
      <c r="A61" s="54">
        <v>7</v>
      </c>
      <c r="B61" s="37" t="s">
        <v>106</v>
      </c>
    </row>
    <row r="62" spans="1:9" x14ac:dyDescent="0.45">
      <c r="A62" s="48" t="s">
        <v>3</v>
      </c>
      <c r="B62" s="38" t="s">
        <v>17</v>
      </c>
      <c r="C62" s="38" t="s">
        <v>0</v>
      </c>
      <c r="D62" s="38" t="s">
        <v>72</v>
      </c>
      <c r="E62" s="38" t="s">
        <v>16</v>
      </c>
      <c r="F62" s="38" t="s">
        <v>46</v>
      </c>
      <c r="G62" s="38" t="s">
        <v>8</v>
      </c>
      <c r="H62" s="39" t="s">
        <v>11</v>
      </c>
      <c r="I62" s="39" t="s">
        <v>7</v>
      </c>
    </row>
    <row r="63" spans="1:9" x14ac:dyDescent="0.45">
      <c r="A63" s="40">
        <v>9</v>
      </c>
      <c r="B63" s="40" t="s">
        <v>30</v>
      </c>
      <c r="C63" s="41" t="s">
        <v>54</v>
      </c>
      <c r="D63" s="37" t="s">
        <v>115</v>
      </c>
      <c r="E63" s="40">
        <v>4</v>
      </c>
      <c r="F63" s="40">
        <v>98</v>
      </c>
      <c r="G63" s="40">
        <f>E63*F63</f>
        <v>392</v>
      </c>
      <c r="H63" s="44">
        <v>30.99</v>
      </c>
      <c r="I63" s="44">
        <f>H63*E63</f>
        <v>123.96</v>
      </c>
    </row>
    <row r="64" spans="1:9" x14ac:dyDescent="0.45">
      <c r="A64" s="40">
        <v>10</v>
      </c>
      <c r="B64" s="40" t="s">
        <v>30</v>
      </c>
      <c r="C64" s="41" t="s">
        <v>56</v>
      </c>
      <c r="D64" s="41" t="s">
        <v>78</v>
      </c>
      <c r="E64" s="40">
        <v>4</v>
      </c>
      <c r="F64" s="40">
        <v>33</v>
      </c>
      <c r="G64" s="40">
        <f t="shared" ref="G64:G65" si="16">E64*F64</f>
        <v>132</v>
      </c>
      <c r="H64" s="44">
        <v>22.17</v>
      </c>
      <c r="I64" s="44">
        <f t="shared" ref="I64:I65" si="17">H64*E64</f>
        <v>88.68</v>
      </c>
    </row>
    <row r="65" spans="1:9" x14ac:dyDescent="0.45">
      <c r="A65" s="40">
        <v>11</v>
      </c>
      <c r="B65" s="40" t="s">
        <v>30</v>
      </c>
      <c r="C65" s="41" t="s">
        <v>12</v>
      </c>
      <c r="D65" s="49" t="s">
        <v>123</v>
      </c>
      <c r="E65" s="40">
        <v>1</v>
      </c>
      <c r="F65" s="40">
        <v>585</v>
      </c>
      <c r="G65" s="40">
        <f t="shared" si="16"/>
        <v>585</v>
      </c>
      <c r="H65" s="44">
        <v>63.19</v>
      </c>
      <c r="I65" s="44">
        <f t="shared" si="17"/>
        <v>63.19</v>
      </c>
    </row>
    <row r="66" spans="1:9" x14ac:dyDescent="0.45">
      <c r="A66" s="45" t="s">
        <v>10</v>
      </c>
      <c r="B66" s="45"/>
      <c r="C66" s="45"/>
      <c r="D66" s="45"/>
      <c r="E66" s="38"/>
      <c r="F66" s="45" t="s">
        <v>94</v>
      </c>
      <c r="G66" s="38">
        <f>SUM(G63:G65)</f>
        <v>1109</v>
      </c>
      <c r="H66" s="46" t="s">
        <v>93</v>
      </c>
      <c r="I66" s="39">
        <f>SUM(I63:I65)</f>
        <v>275.83</v>
      </c>
    </row>
    <row r="67" spans="1:9" x14ac:dyDescent="0.45">
      <c r="A67" s="59"/>
      <c r="B67" s="59"/>
      <c r="C67" s="59"/>
      <c r="D67" s="59"/>
      <c r="E67" s="60"/>
      <c r="F67" s="50" t="s">
        <v>50</v>
      </c>
      <c r="G67" s="51">
        <f>$G$11+G66</f>
        <v>2011</v>
      </c>
      <c r="H67" s="52" t="s">
        <v>51</v>
      </c>
      <c r="I67" s="53">
        <f>$I$11+I66</f>
        <v>441.21</v>
      </c>
    </row>
    <row r="68" spans="1:9" x14ac:dyDescent="0.45">
      <c r="A68" s="61"/>
      <c r="B68" s="62"/>
      <c r="C68" s="62"/>
      <c r="D68" s="62"/>
      <c r="E68" s="62"/>
      <c r="F68" s="57" t="s">
        <v>125</v>
      </c>
      <c r="G68" s="58">
        <f>G67*0.002205</f>
        <v>4.4342550000000003</v>
      </c>
      <c r="H68" s="56"/>
      <c r="I68" s="56"/>
    </row>
    <row r="69" spans="1:9" x14ac:dyDescent="0.45">
      <c r="A69" s="54">
        <v>8</v>
      </c>
      <c r="B69" s="37" t="s">
        <v>107</v>
      </c>
    </row>
    <row r="70" spans="1:9" x14ac:dyDescent="0.45">
      <c r="A70" s="48" t="s">
        <v>3</v>
      </c>
      <c r="B70" s="38" t="s">
        <v>17</v>
      </c>
      <c r="C70" s="38" t="s">
        <v>0</v>
      </c>
      <c r="D70" s="38" t="s">
        <v>72</v>
      </c>
      <c r="E70" s="38" t="s">
        <v>16</v>
      </c>
      <c r="F70" s="38" t="s">
        <v>46</v>
      </c>
      <c r="G70" s="38" t="s">
        <v>8</v>
      </c>
      <c r="H70" s="39" t="s">
        <v>11</v>
      </c>
      <c r="I70" s="39" t="s">
        <v>7</v>
      </c>
    </row>
    <row r="71" spans="1:9" x14ac:dyDescent="0.45">
      <c r="A71" s="40">
        <v>9</v>
      </c>
      <c r="B71" s="40" t="s">
        <v>30</v>
      </c>
      <c r="C71" s="41" t="s">
        <v>54</v>
      </c>
      <c r="D71" s="37" t="s">
        <v>116</v>
      </c>
      <c r="E71" s="40">
        <v>4</v>
      </c>
      <c r="F71" s="40">
        <v>98</v>
      </c>
      <c r="G71" s="40">
        <f>E71*F71</f>
        <v>392</v>
      </c>
      <c r="H71" s="44">
        <v>30.99</v>
      </c>
      <c r="I71" s="44">
        <f>H71*E71</f>
        <v>123.96</v>
      </c>
    </row>
    <row r="72" spans="1:9" x14ac:dyDescent="0.45">
      <c r="A72" s="40">
        <v>10</v>
      </c>
      <c r="B72" s="40" t="s">
        <v>30</v>
      </c>
      <c r="C72" s="41" t="s">
        <v>56</v>
      </c>
      <c r="D72" s="41" t="s">
        <v>97</v>
      </c>
      <c r="E72" s="40">
        <v>4</v>
      </c>
      <c r="F72" s="40">
        <v>22</v>
      </c>
      <c r="G72" s="40">
        <f t="shared" ref="G72:G73" si="18">E72*F72</f>
        <v>88</v>
      </c>
      <c r="H72" s="44">
        <v>12.61</v>
      </c>
      <c r="I72" s="44">
        <f t="shared" ref="I72:I73" si="19">H72*E72</f>
        <v>50.44</v>
      </c>
    </row>
    <row r="73" spans="1:9" x14ac:dyDescent="0.45">
      <c r="A73" s="40">
        <v>11</v>
      </c>
      <c r="B73" s="40" t="s">
        <v>30</v>
      </c>
      <c r="C73" s="41" t="s">
        <v>12</v>
      </c>
      <c r="D73" s="49" t="s">
        <v>121</v>
      </c>
      <c r="E73" s="40">
        <v>1</v>
      </c>
      <c r="F73" s="40">
        <v>576</v>
      </c>
      <c r="G73" s="40">
        <f t="shared" si="18"/>
        <v>576</v>
      </c>
      <c r="H73" s="44">
        <v>76.59</v>
      </c>
      <c r="I73" s="44">
        <f t="shared" si="19"/>
        <v>76.59</v>
      </c>
    </row>
    <row r="74" spans="1:9" x14ac:dyDescent="0.45">
      <c r="A74" s="45" t="s">
        <v>10</v>
      </c>
      <c r="B74" s="45"/>
      <c r="C74" s="45"/>
      <c r="D74" s="45"/>
      <c r="E74" s="38"/>
      <c r="F74" s="45" t="s">
        <v>94</v>
      </c>
      <c r="G74" s="38">
        <f>SUM(G71:G73)</f>
        <v>1056</v>
      </c>
      <c r="H74" s="46" t="s">
        <v>93</v>
      </c>
      <c r="I74" s="39">
        <f>SUM(I71:I73)</f>
        <v>250.98999999999998</v>
      </c>
    </row>
    <row r="75" spans="1:9" x14ac:dyDescent="0.45">
      <c r="A75" s="59"/>
      <c r="B75" s="59"/>
      <c r="C75" s="59"/>
      <c r="D75" s="59"/>
      <c r="E75" s="60"/>
      <c r="F75" s="50" t="s">
        <v>50</v>
      </c>
      <c r="G75" s="51">
        <f>$G$11+G74</f>
        <v>1958</v>
      </c>
      <c r="H75" s="52" t="s">
        <v>51</v>
      </c>
      <c r="I75" s="53">
        <f>$I$11+I74</f>
        <v>416.37</v>
      </c>
    </row>
    <row r="76" spans="1:9" x14ac:dyDescent="0.45">
      <c r="A76" s="61"/>
      <c r="B76" s="62"/>
      <c r="C76" s="62"/>
      <c r="D76" s="62"/>
      <c r="E76" s="62"/>
      <c r="F76" s="57" t="s">
        <v>125</v>
      </c>
      <c r="G76" s="58">
        <f>G75*0.002205</f>
        <v>4.3173899999999996</v>
      </c>
      <c r="H76" s="56"/>
      <c r="I76" s="56"/>
    </row>
    <row r="77" spans="1:9" x14ac:dyDescent="0.45">
      <c r="A77" s="54">
        <v>9</v>
      </c>
      <c r="B77" s="37" t="s">
        <v>108</v>
      </c>
    </row>
    <row r="78" spans="1:9" x14ac:dyDescent="0.45">
      <c r="A78" s="48" t="s">
        <v>3</v>
      </c>
      <c r="B78" s="38" t="s">
        <v>17</v>
      </c>
      <c r="C78" s="38" t="s">
        <v>0</v>
      </c>
      <c r="D78" s="38" t="s">
        <v>72</v>
      </c>
      <c r="E78" s="38" t="s">
        <v>16</v>
      </c>
      <c r="F78" s="38" t="s">
        <v>46</v>
      </c>
      <c r="G78" s="38" t="s">
        <v>8</v>
      </c>
      <c r="H78" s="39" t="s">
        <v>11</v>
      </c>
      <c r="I78" s="39" t="s">
        <v>7</v>
      </c>
    </row>
    <row r="79" spans="1:9" x14ac:dyDescent="0.45">
      <c r="A79" s="40">
        <v>9</v>
      </c>
      <c r="B79" s="40" t="s">
        <v>30</v>
      </c>
      <c r="C79" s="41" t="s">
        <v>54</v>
      </c>
      <c r="D79" s="37" t="s">
        <v>117</v>
      </c>
      <c r="E79" s="40">
        <v>4</v>
      </c>
      <c r="F79" s="40">
        <v>95</v>
      </c>
      <c r="G79" s="40">
        <f>E79*F79</f>
        <v>380</v>
      </c>
      <c r="H79" s="44">
        <v>30.99</v>
      </c>
      <c r="I79" s="44">
        <f>H79*E79</f>
        <v>123.96</v>
      </c>
    </row>
    <row r="80" spans="1:9" x14ac:dyDescent="0.45">
      <c r="A80" s="40">
        <v>10</v>
      </c>
      <c r="B80" s="40" t="s">
        <v>30</v>
      </c>
      <c r="C80" s="41" t="s">
        <v>56</v>
      </c>
      <c r="D80" s="41" t="s">
        <v>97</v>
      </c>
      <c r="E80" s="40">
        <v>4</v>
      </c>
      <c r="F80" s="40">
        <v>22</v>
      </c>
      <c r="G80" s="40">
        <f t="shared" ref="G80:G81" si="20">E80*F80</f>
        <v>88</v>
      </c>
      <c r="H80" s="44">
        <v>12.61</v>
      </c>
      <c r="I80" s="44">
        <f t="shared" ref="I80:I81" si="21">H80*E80</f>
        <v>50.44</v>
      </c>
    </row>
    <row r="81" spans="1:9" x14ac:dyDescent="0.45">
      <c r="A81" s="40">
        <v>11</v>
      </c>
      <c r="B81" s="40" t="s">
        <v>30</v>
      </c>
      <c r="C81" s="41" t="s">
        <v>12</v>
      </c>
      <c r="D81" s="49" t="s">
        <v>121</v>
      </c>
      <c r="E81" s="40">
        <v>1</v>
      </c>
      <c r="F81" s="40">
        <v>576</v>
      </c>
      <c r="G81" s="40">
        <f t="shared" si="20"/>
        <v>576</v>
      </c>
      <c r="H81" s="44">
        <v>76.59</v>
      </c>
      <c r="I81" s="44">
        <f t="shared" si="21"/>
        <v>76.59</v>
      </c>
    </row>
    <row r="82" spans="1:9" x14ac:dyDescent="0.45">
      <c r="A82" s="45" t="s">
        <v>10</v>
      </c>
      <c r="B82" s="45"/>
      <c r="C82" s="45"/>
      <c r="D82" s="45"/>
      <c r="E82" s="38"/>
      <c r="F82" s="45" t="s">
        <v>94</v>
      </c>
      <c r="G82" s="38">
        <f>SUM(G79:G81)</f>
        <v>1044</v>
      </c>
      <c r="H82" s="46" t="s">
        <v>93</v>
      </c>
      <c r="I82" s="39">
        <f>SUM(I79:I81)</f>
        <v>250.98999999999998</v>
      </c>
    </row>
    <row r="83" spans="1:9" x14ac:dyDescent="0.45">
      <c r="A83" s="59"/>
      <c r="B83" s="59"/>
      <c r="C83" s="59"/>
      <c r="D83" s="59"/>
      <c r="E83" s="60"/>
      <c r="F83" s="50" t="s">
        <v>50</v>
      </c>
      <c r="G83" s="51">
        <f>$G$11+G82</f>
        <v>1946</v>
      </c>
      <c r="H83" s="52" t="s">
        <v>51</v>
      </c>
      <c r="I83" s="53">
        <f>$I$11+I82</f>
        <v>416.37</v>
      </c>
    </row>
    <row r="84" spans="1:9" x14ac:dyDescent="0.45">
      <c r="A84" s="61"/>
      <c r="B84" s="62"/>
      <c r="C84" s="62"/>
      <c r="D84" s="62"/>
      <c r="E84" s="62"/>
      <c r="F84" s="57" t="s">
        <v>125</v>
      </c>
      <c r="G84" s="58">
        <f>G83*0.002205</f>
        <v>4.2909299999999995</v>
      </c>
      <c r="H84" s="56"/>
      <c r="I84" s="56"/>
    </row>
    <row r="85" spans="1:9" x14ac:dyDescent="0.45">
      <c r="A85" s="54">
        <v>10</v>
      </c>
      <c r="B85" s="37" t="s">
        <v>109</v>
      </c>
    </row>
    <row r="86" spans="1:9" x14ac:dyDescent="0.45">
      <c r="A86" s="48" t="s">
        <v>3</v>
      </c>
      <c r="B86" s="38" t="s">
        <v>17</v>
      </c>
      <c r="C86" s="38" t="s">
        <v>0</v>
      </c>
      <c r="D86" s="38" t="s">
        <v>72</v>
      </c>
      <c r="E86" s="38" t="s">
        <v>16</v>
      </c>
      <c r="F86" s="38" t="s">
        <v>46</v>
      </c>
      <c r="G86" s="38" t="s">
        <v>8</v>
      </c>
      <c r="H86" s="39" t="s">
        <v>11</v>
      </c>
      <c r="I86" s="39" t="s">
        <v>7</v>
      </c>
    </row>
    <row r="87" spans="1:9" x14ac:dyDescent="0.45">
      <c r="A87" s="40">
        <v>9</v>
      </c>
      <c r="B87" s="40" t="s">
        <v>30</v>
      </c>
      <c r="C87" s="41" t="s">
        <v>54</v>
      </c>
      <c r="D87" s="37" t="s">
        <v>118</v>
      </c>
      <c r="E87" s="40">
        <v>4</v>
      </c>
      <c r="F87" s="40">
        <v>86</v>
      </c>
      <c r="G87" s="40">
        <f>E87*F87</f>
        <v>344</v>
      </c>
      <c r="H87" s="44">
        <v>27.99</v>
      </c>
      <c r="I87" s="44">
        <f>H87*E87</f>
        <v>111.96</v>
      </c>
    </row>
    <row r="88" spans="1:9" x14ac:dyDescent="0.45">
      <c r="A88" s="40">
        <v>10</v>
      </c>
      <c r="B88" s="40" t="s">
        <v>30</v>
      </c>
      <c r="C88" s="41" t="s">
        <v>56</v>
      </c>
      <c r="D88" s="41" t="s">
        <v>78</v>
      </c>
      <c r="E88" s="40">
        <v>4</v>
      </c>
      <c r="F88" s="40">
        <v>33</v>
      </c>
      <c r="G88" s="40">
        <f t="shared" ref="G88:G89" si="22">E88*F88</f>
        <v>132</v>
      </c>
      <c r="H88" s="44">
        <v>22.17</v>
      </c>
      <c r="I88" s="44">
        <f t="shared" ref="I88:I89" si="23">H88*E88</f>
        <v>88.68</v>
      </c>
    </row>
    <row r="89" spans="1:9" x14ac:dyDescent="0.45">
      <c r="A89" s="40">
        <v>11</v>
      </c>
      <c r="B89" s="40" t="s">
        <v>30</v>
      </c>
      <c r="C89" s="41" t="s">
        <v>12</v>
      </c>
      <c r="D89" s="49" t="s">
        <v>120</v>
      </c>
      <c r="E89" s="40">
        <v>1</v>
      </c>
      <c r="F89" s="40">
        <v>813</v>
      </c>
      <c r="G89" s="40">
        <f t="shared" si="22"/>
        <v>813</v>
      </c>
      <c r="H89" s="44">
        <v>94.81</v>
      </c>
      <c r="I89" s="44">
        <f t="shared" si="23"/>
        <v>94.81</v>
      </c>
    </row>
    <row r="90" spans="1:9" x14ac:dyDescent="0.45">
      <c r="A90" s="45" t="s">
        <v>10</v>
      </c>
      <c r="B90" s="45"/>
      <c r="C90" s="45"/>
      <c r="D90" s="45"/>
      <c r="E90" s="38"/>
      <c r="F90" s="45" t="s">
        <v>94</v>
      </c>
      <c r="G90" s="38">
        <f>SUM(G87:G89)</f>
        <v>1289</v>
      </c>
      <c r="H90" s="46" t="s">
        <v>93</v>
      </c>
      <c r="I90" s="39">
        <f>SUM(I87:I89)</f>
        <v>295.45</v>
      </c>
    </row>
    <row r="91" spans="1:9" x14ac:dyDescent="0.45">
      <c r="A91" s="59"/>
      <c r="B91" s="59"/>
      <c r="C91" s="59"/>
      <c r="D91" s="59"/>
      <c r="E91" s="60"/>
      <c r="F91" s="50" t="s">
        <v>50</v>
      </c>
      <c r="G91" s="51">
        <f>$G$11+G90</f>
        <v>2191</v>
      </c>
      <c r="H91" s="52" t="s">
        <v>51</v>
      </c>
      <c r="I91" s="53">
        <f>$I$11+I90</f>
        <v>460.83</v>
      </c>
    </row>
    <row r="92" spans="1:9" x14ac:dyDescent="0.45">
      <c r="A92" s="61"/>
      <c r="B92" s="62"/>
      <c r="C92" s="62"/>
      <c r="D92" s="62"/>
      <c r="E92" s="62"/>
      <c r="F92" s="57" t="s">
        <v>125</v>
      </c>
      <c r="G92" s="58">
        <f>G91*0.002205</f>
        <v>4.8311549999999999</v>
      </c>
      <c r="H92" s="56"/>
      <c r="I92" s="56"/>
    </row>
    <row r="93" spans="1:9" x14ac:dyDescent="0.45">
      <c r="A93" s="54">
        <v>11</v>
      </c>
      <c r="B93" s="37" t="s">
        <v>110</v>
      </c>
    </row>
    <row r="94" spans="1:9" x14ac:dyDescent="0.45">
      <c r="A94" s="48" t="s">
        <v>3</v>
      </c>
      <c r="B94" s="38" t="s">
        <v>17</v>
      </c>
      <c r="C94" s="38" t="s">
        <v>0</v>
      </c>
      <c r="D94" s="38" t="s">
        <v>72</v>
      </c>
      <c r="E94" s="38" t="s">
        <v>16</v>
      </c>
      <c r="F94" s="38" t="s">
        <v>46</v>
      </c>
      <c r="G94" s="38" t="s">
        <v>8</v>
      </c>
      <c r="H94" s="39" t="s">
        <v>11</v>
      </c>
      <c r="I94" s="39" t="s">
        <v>7</v>
      </c>
    </row>
    <row r="95" spans="1:9" x14ac:dyDescent="0.45">
      <c r="A95" s="40">
        <v>9</v>
      </c>
      <c r="B95" s="40" t="s">
        <v>30</v>
      </c>
      <c r="C95" s="41" t="s">
        <v>54</v>
      </c>
      <c r="D95" s="37" t="s">
        <v>119</v>
      </c>
      <c r="E95" s="40">
        <v>4</v>
      </c>
      <c r="F95" s="40">
        <v>86</v>
      </c>
      <c r="G95" s="40">
        <f>E95*F95</f>
        <v>344</v>
      </c>
      <c r="H95" s="44">
        <v>27.99</v>
      </c>
      <c r="I95" s="44">
        <f>H95*E95</f>
        <v>111.96</v>
      </c>
    </row>
    <row r="96" spans="1:9" x14ac:dyDescent="0.45">
      <c r="A96" s="40">
        <v>10</v>
      </c>
      <c r="B96" s="40" t="s">
        <v>30</v>
      </c>
      <c r="C96" s="41" t="s">
        <v>56</v>
      </c>
      <c r="D96" s="41" t="s">
        <v>97</v>
      </c>
      <c r="E96" s="40">
        <v>4</v>
      </c>
      <c r="F96" s="40">
        <v>22</v>
      </c>
      <c r="G96" s="40">
        <f t="shared" ref="G96:G97" si="24">E96*F96</f>
        <v>88</v>
      </c>
      <c r="H96" s="44">
        <v>12.61</v>
      </c>
      <c r="I96" s="44">
        <f t="shared" ref="I96:I97" si="25">H96*E96</f>
        <v>50.44</v>
      </c>
    </row>
    <row r="97" spans="1:9" x14ac:dyDescent="0.45">
      <c r="A97" s="40">
        <v>11</v>
      </c>
      <c r="B97" s="40" t="s">
        <v>30</v>
      </c>
      <c r="C97" s="41" t="s">
        <v>12</v>
      </c>
      <c r="D97" s="49" t="s">
        <v>121</v>
      </c>
      <c r="E97" s="40">
        <v>1</v>
      </c>
      <c r="F97" s="40">
        <v>576</v>
      </c>
      <c r="G97" s="40">
        <f t="shared" si="24"/>
        <v>576</v>
      </c>
      <c r="H97" s="44">
        <v>76.59</v>
      </c>
      <c r="I97" s="44">
        <f t="shared" si="25"/>
        <v>76.59</v>
      </c>
    </row>
    <row r="98" spans="1:9" x14ac:dyDescent="0.45">
      <c r="A98" s="45" t="s">
        <v>10</v>
      </c>
      <c r="B98" s="45"/>
      <c r="C98" s="45"/>
      <c r="D98" s="45"/>
      <c r="E98" s="38"/>
      <c r="F98" s="45" t="s">
        <v>94</v>
      </c>
      <c r="G98" s="38">
        <f>SUM(G95:G97)</f>
        <v>1008</v>
      </c>
      <c r="H98" s="46" t="s">
        <v>93</v>
      </c>
      <c r="I98" s="39">
        <f>SUM(I95:I97)</f>
        <v>238.98999999999998</v>
      </c>
    </row>
    <row r="99" spans="1:9" x14ac:dyDescent="0.45">
      <c r="A99" s="59"/>
      <c r="B99" s="59"/>
      <c r="C99" s="59"/>
      <c r="D99" s="59"/>
      <c r="E99" s="60"/>
      <c r="F99" s="50" t="s">
        <v>50</v>
      </c>
      <c r="G99" s="51">
        <f>$G$11+G98</f>
        <v>1910</v>
      </c>
      <c r="H99" s="52" t="s">
        <v>51</v>
      </c>
      <c r="I99" s="53">
        <f>$I$11+I98</f>
        <v>404.37</v>
      </c>
    </row>
    <row r="100" spans="1:9" x14ac:dyDescent="0.45">
      <c r="A100" s="61"/>
      <c r="B100" s="62"/>
      <c r="C100" s="62"/>
      <c r="D100" s="62"/>
      <c r="E100" s="62"/>
      <c r="F100" s="57" t="s">
        <v>125</v>
      </c>
      <c r="G100" s="58">
        <f>G99*0.002205</f>
        <v>4.2115499999999999</v>
      </c>
      <c r="H100" s="56"/>
      <c r="I100" s="56"/>
    </row>
  </sheetData>
  <mergeCells count="1">
    <mergeCell ref="H1:I1"/>
  </mergeCells>
  <pageMargins left="0.7" right="0.7" top="0.75" bottom="0.75" header="0.3" footer="0.3"/>
  <pageSetup scale="35" fitToHeight="2" orientation="landscape" horizontalDpi="0" verticalDpi="0" r:id="rId1"/>
  <headerFooter>
    <oddFooter>Page &amp;P of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view="pageLayout" topLeftCell="C1" zoomScale="40" zoomScaleNormal="100" zoomScalePageLayoutView="40" workbookViewId="0">
      <selection activeCell="I13" sqref="I13"/>
    </sheetView>
  </sheetViews>
  <sheetFormatPr defaultColWidth="11" defaultRowHeight="15.75" x14ac:dyDescent="0.25"/>
  <cols>
    <col min="1" max="1" width="19.875" bestFit="1" customWidth="1"/>
    <col min="2" max="2" width="25.125" bestFit="1" customWidth="1"/>
    <col min="3" max="3" width="42.875" bestFit="1" customWidth="1"/>
    <col min="4" max="4" width="90.125" bestFit="1" customWidth="1"/>
    <col min="5" max="5" width="11.125" style="1" bestFit="1" customWidth="1"/>
    <col min="6" max="6" width="33.125" style="1" bestFit="1" customWidth="1"/>
    <col min="7" max="7" width="34.875" style="1" bestFit="1" customWidth="1"/>
    <col min="8" max="8" width="27.875" style="3" bestFit="1" customWidth="1"/>
    <col min="9" max="9" width="29.625" style="3" bestFit="1" customWidth="1"/>
  </cols>
  <sheetData>
    <row r="1" spans="1:10" s="5" customFormat="1" ht="34.5" customHeight="1" x14ac:dyDescent="0.4">
      <c r="A1" s="9" t="s">
        <v>3</v>
      </c>
      <c r="B1" s="9" t="s">
        <v>17</v>
      </c>
      <c r="C1" s="9" t="s">
        <v>0</v>
      </c>
      <c r="D1" s="9" t="s">
        <v>1</v>
      </c>
      <c r="E1" s="9" t="s">
        <v>16</v>
      </c>
      <c r="F1" s="9" t="s">
        <v>46</v>
      </c>
      <c r="G1" s="9" t="s">
        <v>8</v>
      </c>
      <c r="H1" s="10" t="s">
        <v>11</v>
      </c>
      <c r="I1" s="10" t="s">
        <v>7</v>
      </c>
      <c r="J1" s="6"/>
    </row>
    <row r="2" spans="1:10" ht="34.5" customHeight="1" x14ac:dyDescent="0.4">
      <c r="A2" s="11">
        <v>1</v>
      </c>
      <c r="B2" s="12" t="s">
        <v>6</v>
      </c>
      <c r="C2" s="13" t="s">
        <v>18</v>
      </c>
      <c r="D2" s="13" t="s">
        <v>19</v>
      </c>
      <c r="E2" s="12">
        <v>4</v>
      </c>
      <c r="F2" s="14">
        <v>4</v>
      </c>
      <c r="G2" s="12">
        <f>F2*E2</f>
        <v>16</v>
      </c>
      <c r="H2" s="15">
        <v>5</v>
      </c>
      <c r="I2" s="16">
        <f>H2*E2</f>
        <v>20</v>
      </c>
      <c r="J2" s="7"/>
    </row>
    <row r="3" spans="1:10" ht="34.5" customHeight="1" x14ac:dyDescent="0.4">
      <c r="A3" s="11">
        <v>2</v>
      </c>
      <c r="B3" s="12" t="s">
        <v>6</v>
      </c>
      <c r="C3" s="13" t="s">
        <v>20</v>
      </c>
      <c r="D3" s="13" t="s">
        <v>21</v>
      </c>
      <c r="E3" s="12">
        <v>2</v>
      </c>
      <c r="F3" s="14">
        <v>4</v>
      </c>
      <c r="G3" s="12">
        <f t="shared" ref="G3:G7" si="0">F3*E3</f>
        <v>8</v>
      </c>
      <c r="H3" s="15">
        <v>5</v>
      </c>
      <c r="I3" s="16">
        <f t="shared" ref="I3:I7" si="1">H3*E3</f>
        <v>10</v>
      </c>
      <c r="J3" s="7"/>
    </row>
    <row r="4" spans="1:10" ht="34.5" customHeight="1" x14ac:dyDescent="0.4">
      <c r="A4" s="11">
        <v>3</v>
      </c>
      <c r="B4" s="12" t="s">
        <v>6</v>
      </c>
      <c r="C4" s="13" t="s">
        <v>22</v>
      </c>
      <c r="D4" s="13" t="s">
        <v>23</v>
      </c>
      <c r="E4" s="12">
        <v>1</v>
      </c>
      <c r="F4" s="14">
        <v>10</v>
      </c>
      <c r="G4" s="12">
        <f t="shared" si="0"/>
        <v>10</v>
      </c>
      <c r="H4" s="15">
        <v>5</v>
      </c>
      <c r="I4" s="16">
        <f t="shared" si="1"/>
        <v>5</v>
      </c>
      <c r="J4" s="7"/>
    </row>
    <row r="5" spans="1:10" ht="34.5" customHeight="1" x14ac:dyDescent="0.4">
      <c r="A5" s="11">
        <v>4</v>
      </c>
      <c r="B5" s="12" t="s">
        <v>6</v>
      </c>
      <c r="C5" s="13" t="s">
        <v>24</v>
      </c>
      <c r="D5" s="13" t="s">
        <v>25</v>
      </c>
      <c r="E5" s="12">
        <v>1</v>
      </c>
      <c r="F5" s="14">
        <v>4</v>
      </c>
      <c r="G5" s="12">
        <f t="shared" si="0"/>
        <v>4</v>
      </c>
      <c r="H5" s="15">
        <v>5</v>
      </c>
      <c r="I5" s="16">
        <f t="shared" si="1"/>
        <v>5</v>
      </c>
      <c r="J5" s="7"/>
    </row>
    <row r="6" spans="1:10" ht="34.5" customHeight="1" x14ac:dyDescent="0.4">
      <c r="A6" s="11">
        <v>5</v>
      </c>
      <c r="B6" s="12" t="s">
        <v>6</v>
      </c>
      <c r="C6" s="13" t="s">
        <v>27</v>
      </c>
      <c r="D6" s="13" t="s">
        <v>26</v>
      </c>
      <c r="E6" s="12">
        <v>1</v>
      </c>
      <c r="F6" s="14">
        <v>4</v>
      </c>
      <c r="G6" s="12">
        <f t="shared" si="0"/>
        <v>4</v>
      </c>
      <c r="H6" s="15">
        <v>5</v>
      </c>
      <c r="I6" s="16">
        <f t="shared" si="1"/>
        <v>5</v>
      </c>
      <c r="J6" s="7"/>
    </row>
    <row r="7" spans="1:10" ht="34.5" customHeight="1" x14ac:dyDescent="0.4">
      <c r="A7" s="11">
        <v>6</v>
      </c>
      <c r="B7" s="12" t="s">
        <v>6</v>
      </c>
      <c r="C7" s="13" t="s">
        <v>28</v>
      </c>
      <c r="D7" s="13" t="s">
        <v>29</v>
      </c>
      <c r="E7" s="12">
        <v>1</v>
      </c>
      <c r="F7" s="14">
        <v>3</v>
      </c>
      <c r="G7" s="12">
        <f t="shared" si="0"/>
        <v>3</v>
      </c>
      <c r="H7" s="15">
        <v>5</v>
      </c>
      <c r="I7" s="16">
        <f t="shared" si="1"/>
        <v>5</v>
      </c>
      <c r="J7" s="7"/>
    </row>
    <row r="8" spans="1:10" ht="34.5" customHeight="1" x14ac:dyDescent="0.4">
      <c r="A8" s="11">
        <v>7</v>
      </c>
      <c r="B8" s="12" t="s">
        <v>30</v>
      </c>
      <c r="C8" s="13" t="s">
        <v>4</v>
      </c>
      <c r="D8" s="13" t="s">
        <v>5</v>
      </c>
      <c r="E8" s="12">
        <v>1</v>
      </c>
      <c r="F8" s="12">
        <v>21</v>
      </c>
      <c r="G8" s="12">
        <f t="shared" ref="G8:G26" si="2">F8*E8</f>
        <v>21</v>
      </c>
      <c r="H8" s="16">
        <v>29.99</v>
      </c>
      <c r="I8" s="16">
        <f t="shared" ref="I8:I26" si="3">H8*E8</f>
        <v>29.99</v>
      </c>
      <c r="J8" s="7"/>
    </row>
    <row r="9" spans="1:10" ht="34.5" customHeight="1" x14ac:dyDescent="0.4">
      <c r="A9" s="11">
        <v>8</v>
      </c>
      <c r="B9" s="12" t="s">
        <v>30</v>
      </c>
      <c r="C9" s="13" t="s">
        <v>54</v>
      </c>
      <c r="D9" s="13" t="s">
        <v>55</v>
      </c>
      <c r="E9" s="12">
        <v>4</v>
      </c>
      <c r="F9" s="12">
        <v>11</v>
      </c>
      <c r="G9" s="12">
        <f t="shared" si="2"/>
        <v>44</v>
      </c>
      <c r="H9" s="16">
        <v>9.75</v>
      </c>
      <c r="I9" s="16">
        <f t="shared" si="3"/>
        <v>39</v>
      </c>
      <c r="J9" s="7"/>
    </row>
    <row r="10" spans="1:10" ht="34.5" customHeight="1" x14ac:dyDescent="0.4">
      <c r="A10" s="11">
        <v>9</v>
      </c>
      <c r="B10" s="12" t="s">
        <v>30</v>
      </c>
      <c r="C10" s="13" t="s">
        <v>56</v>
      </c>
      <c r="D10" s="13" t="s">
        <v>9</v>
      </c>
      <c r="E10" s="12">
        <v>4</v>
      </c>
      <c r="F10" s="12">
        <v>6</v>
      </c>
      <c r="G10" s="12">
        <f t="shared" si="2"/>
        <v>24</v>
      </c>
      <c r="H10" s="16">
        <v>7.98</v>
      </c>
      <c r="I10" s="16">
        <f t="shared" si="3"/>
        <v>31.92</v>
      </c>
      <c r="J10" s="7"/>
    </row>
    <row r="11" spans="1:10" ht="34.5" customHeight="1" x14ac:dyDescent="0.4">
      <c r="A11" s="11">
        <v>10</v>
      </c>
      <c r="B11" s="12" t="s">
        <v>30</v>
      </c>
      <c r="C11" s="13" t="s">
        <v>12</v>
      </c>
      <c r="D11" s="13" t="s">
        <v>86</v>
      </c>
      <c r="E11" s="12">
        <v>1</v>
      </c>
      <c r="F11" s="12">
        <v>49</v>
      </c>
      <c r="G11" s="12">
        <f t="shared" si="2"/>
        <v>49</v>
      </c>
      <c r="H11" s="16">
        <v>5.5</v>
      </c>
      <c r="I11" s="16">
        <f t="shared" si="3"/>
        <v>5.5</v>
      </c>
      <c r="J11" s="7"/>
    </row>
    <row r="12" spans="1:10" ht="34.5" customHeight="1" x14ac:dyDescent="0.4">
      <c r="A12" s="11">
        <v>11</v>
      </c>
      <c r="B12" s="12" t="s">
        <v>30</v>
      </c>
      <c r="C12" s="13" t="s">
        <v>13</v>
      </c>
      <c r="D12" s="13" t="s">
        <v>14</v>
      </c>
      <c r="E12" s="12">
        <v>1</v>
      </c>
      <c r="F12" s="12">
        <v>5</v>
      </c>
      <c r="G12" s="12">
        <f t="shared" si="2"/>
        <v>5</v>
      </c>
      <c r="H12" s="16">
        <v>1.99</v>
      </c>
      <c r="I12" s="16">
        <f t="shared" si="3"/>
        <v>1.99</v>
      </c>
      <c r="J12" s="7"/>
    </row>
    <row r="13" spans="1:10" ht="34.5" customHeight="1" x14ac:dyDescent="0.4">
      <c r="A13" s="11">
        <v>12</v>
      </c>
      <c r="B13" s="12" t="s">
        <v>30</v>
      </c>
      <c r="C13" s="13" t="s">
        <v>15</v>
      </c>
      <c r="D13" s="13" t="s">
        <v>87</v>
      </c>
      <c r="E13" s="12">
        <v>1</v>
      </c>
      <c r="F13" s="12">
        <v>12.67</v>
      </c>
      <c r="G13" s="12">
        <f t="shared" si="2"/>
        <v>12.67</v>
      </c>
      <c r="H13" s="16">
        <v>29.99</v>
      </c>
      <c r="I13" s="16">
        <f t="shared" si="3"/>
        <v>29.99</v>
      </c>
      <c r="J13" s="7"/>
    </row>
    <row r="14" spans="1:10" ht="34.5" customHeight="1" x14ac:dyDescent="0.4">
      <c r="A14" s="11"/>
      <c r="B14" s="12" t="s">
        <v>30</v>
      </c>
      <c r="C14" s="13" t="s">
        <v>85</v>
      </c>
      <c r="D14" s="13" t="s">
        <v>84</v>
      </c>
      <c r="E14" s="12">
        <v>1</v>
      </c>
      <c r="F14" s="12"/>
      <c r="G14" s="12"/>
      <c r="H14" s="16"/>
      <c r="I14" s="16"/>
      <c r="J14" s="7"/>
    </row>
    <row r="15" spans="1:10" ht="34.5" customHeight="1" x14ac:dyDescent="0.4">
      <c r="A15" s="11">
        <v>13</v>
      </c>
      <c r="B15" s="12" t="s">
        <v>31</v>
      </c>
      <c r="C15" s="13" t="s">
        <v>32</v>
      </c>
      <c r="D15" s="13" t="s">
        <v>79</v>
      </c>
      <c r="E15" s="12">
        <v>4</v>
      </c>
      <c r="F15" s="12">
        <v>0.14000000000000001</v>
      </c>
      <c r="G15" s="12">
        <f t="shared" si="2"/>
        <v>0.56000000000000005</v>
      </c>
      <c r="H15" s="16">
        <v>9.1999999999999998E-2</v>
      </c>
      <c r="I15" s="16">
        <f t="shared" si="3"/>
        <v>0.36799999999999999</v>
      </c>
      <c r="J15" s="7"/>
    </row>
    <row r="16" spans="1:10" ht="34.5" customHeight="1" x14ac:dyDescent="0.4">
      <c r="A16" s="11">
        <v>14</v>
      </c>
      <c r="B16" s="12" t="s">
        <v>31</v>
      </c>
      <c r="C16" s="13" t="s">
        <v>33</v>
      </c>
      <c r="D16" s="13" t="s">
        <v>34</v>
      </c>
      <c r="E16" s="12">
        <v>4</v>
      </c>
      <c r="F16" s="12">
        <v>0.34</v>
      </c>
      <c r="G16" s="12">
        <f t="shared" si="2"/>
        <v>1.36</v>
      </c>
      <c r="H16" s="16">
        <v>0.217</v>
      </c>
      <c r="I16" s="16">
        <f t="shared" si="3"/>
        <v>0.86799999999999999</v>
      </c>
      <c r="J16" s="7"/>
    </row>
    <row r="17" spans="1:10" ht="34.5" customHeight="1" x14ac:dyDescent="0.4">
      <c r="A17" s="11">
        <v>15</v>
      </c>
      <c r="B17" s="12" t="s">
        <v>31</v>
      </c>
      <c r="C17" s="13" t="s">
        <v>35</v>
      </c>
      <c r="D17" s="13" t="s">
        <v>36</v>
      </c>
      <c r="E17" s="12">
        <v>32</v>
      </c>
      <c r="F17" s="12">
        <v>0.23</v>
      </c>
      <c r="G17" s="12">
        <f t="shared" si="2"/>
        <v>7.36</v>
      </c>
      <c r="H17" s="16">
        <v>9.1999999999999998E-2</v>
      </c>
      <c r="I17" s="16">
        <f t="shared" si="3"/>
        <v>2.944</v>
      </c>
      <c r="J17" s="7"/>
    </row>
    <row r="18" spans="1:10" ht="34.5" customHeight="1" x14ac:dyDescent="0.4">
      <c r="A18" s="11">
        <v>16</v>
      </c>
      <c r="B18" s="12" t="s">
        <v>31</v>
      </c>
      <c r="C18" s="13" t="s">
        <v>37</v>
      </c>
      <c r="D18" s="13" t="s">
        <v>38</v>
      </c>
      <c r="E18" s="12">
        <v>20</v>
      </c>
      <c r="F18" s="12">
        <v>0.61</v>
      </c>
      <c r="G18" s="12">
        <f t="shared" si="2"/>
        <v>12.2</v>
      </c>
      <c r="H18" s="16">
        <v>0.21</v>
      </c>
      <c r="I18" s="16">
        <f t="shared" si="3"/>
        <v>4.2</v>
      </c>
      <c r="J18" s="7"/>
    </row>
    <row r="19" spans="1:10" ht="34.5" customHeight="1" x14ac:dyDescent="0.4">
      <c r="A19" s="11">
        <v>17</v>
      </c>
      <c r="B19" s="12" t="s">
        <v>31</v>
      </c>
      <c r="C19" s="13" t="s">
        <v>39</v>
      </c>
      <c r="D19" s="13" t="s">
        <v>40</v>
      </c>
      <c r="E19" s="12">
        <v>20</v>
      </c>
      <c r="F19" s="12">
        <v>1.08</v>
      </c>
      <c r="G19" s="12">
        <f t="shared" si="2"/>
        <v>21.6</v>
      </c>
      <c r="H19" s="16">
        <v>9.7500000000000003E-2</v>
      </c>
      <c r="I19" s="16">
        <f t="shared" si="3"/>
        <v>1.9500000000000002</v>
      </c>
      <c r="J19" s="7"/>
    </row>
    <row r="20" spans="1:10" ht="34.5" customHeight="1" x14ac:dyDescent="0.4">
      <c r="A20" s="11">
        <v>18</v>
      </c>
      <c r="B20" s="12" t="s">
        <v>31</v>
      </c>
      <c r="C20" s="13" t="s">
        <v>37</v>
      </c>
      <c r="D20" s="13" t="s">
        <v>41</v>
      </c>
      <c r="E20" s="12">
        <v>16</v>
      </c>
      <c r="F20" s="12">
        <v>0.22</v>
      </c>
      <c r="G20" s="12">
        <f t="shared" si="2"/>
        <v>3.52</v>
      </c>
      <c r="H20" s="16">
        <v>9.7000000000000003E-2</v>
      </c>
      <c r="I20" s="16">
        <f t="shared" si="3"/>
        <v>1.552</v>
      </c>
      <c r="J20" s="7"/>
    </row>
    <row r="21" spans="1:10" ht="34.5" customHeight="1" x14ac:dyDescent="0.4">
      <c r="A21" s="11">
        <v>19</v>
      </c>
      <c r="B21" s="12" t="s">
        <v>31</v>
      </c>
      <c r="C21" s="13" t="s">
        <v>44</v>
      </c>
      <c r="D21" s="13" t="s">
        <v>45</v>
      </c>
      <c r="E21" s="12">
        <v>16</v>
      </c>
      <c r="F21" s="12">
        <v>0.16</v>
      </c>
      <c r="G21" s="12">
        <f t="shared" si="2"/>
        <v>2.56</v>
      </c>
      <c r="H21" s="16">
        <v>7.9000000000000001E-2</v>
      </c>
      <c r="I21" s="16">
        <f t="shared" si="3"/>
        <v>1.264</v>
      </c>
      <c r="J21" s="7"/>
    </row>
    <row r="22" spans="1:10" ht="34.5" customHeight="1" x14ac:dyDescent="0.4">
      <c r="A22" s="11">
        <v>20</v>
      </c>
      <c r="B22" s="12" t="s">
        <v>31</v>
      </c>
      <c r="C22" s="13" t="s">
        <v>47</v>
      </c>
      <c r="D22" s="13" t="s">
        <v>42</v>
      </c>
      <c r="E22" s="12">
        <v>2</v>
      </c>
      <c r="F22" s="12">
        <v>2.36</v>
      </c>
      <c r="G22" s="12">
        <f t="shared" si="2"/>
        <v>4.72</v>
      </c>
      <c r="H22" s="16">
        <v>0.5</v>
      </c>
      <c r="I22" s="16">
        <f t="shared" si="3"/>
        <v>1</v>
      </c>
      <c r="J22" s="7"/>
    </row>
    <row r="23" spans="1:10" ht="34.5" customHeight="1" x14ac:dyDescent="0.4">
      <c r="A23" s="11">
        <v>21</v>
      </c>
      <c r="B23" s="12" t="s">
        <v>31</v>
      </c>
      <c r="C23" s="13" t="s">
        <v>48</v>
      </c>
      <c r="D23" s="13" t="s">
        <v>43</v>
      </c>
      <c r="E23" s="12">
        <v>2</v>
      </c>
      <c r="F23" s="12">
        <v>2.36</v>
      </c>
      <c r="G23" s="12">
        <f t="shared" si="2"/>
        <v>4.72</v>
      </c>
      <c r="H23" s="16">
        <v>0.5</v>
      </c>
      <c r="I23" s="16">
        <f t="shared" si="3"/>
        <v>1</v>
      </c>
      <c r="J23" s="7"/>
    </row>
    <row r="24" spans="1:10" ht="34.5" customHeight="1" x14ac:dyDescent="0.4">
      <c r="A24" s="11">
        <v>22</v>
      </c>
      <c r="B24" s="12" t="s">
        <v>31</v>
      </c>
      <c r="C24" s="13" t="s">
        <v>82</v>
      </c>
      <c r="D24" s="13" t="s">
        <v>80</v>
      </c>
      <c r="E24" s="12">
        <v>4</v>
      </c>
      <c r="F24" s="12">
        <v>1.1299999999999999</v>
      </c>
      <c r="G24" s="12">
        <f t="shared" si="2"/>
        <v>4.5199999999999996</v>
      </c>
      <c r="H24" s="16">
        <v>0</v>
      </c>
      <c r="I24" s="16">
        <f t="shared" si="3"/>
        <v>0</v>
      </c>
      <c r="J24" s="7"/>
    </row>
    <row r="25" spans="1:10" ht="34.5" customHeight="1" x14ac:dyDescent="0.4">
      <c r="A25" s="11">
        <v>23</v>
      </c>
      <c r="B25" s="12" t="s">
        <v>31</v>
      </c>
      <c r="C25" s="13" t="s">
        <v>83</v>
      </c>
      <c r="D25" s="13" t="s">
        <v>81</v>
      </c>
      <c r="E25" s="12">
        <v>0</v>
      </c>
      <c r="F25" s="12">
        <v>2.74</v>
      </c>
      <c r="G25" s="12">
        <f>F25*4</f>
        <v>10.96</v>
      </c>
      <c r="H25" s="16">
        <v>0</v>
      </c>
      <c r="I25" s="16">
        <f t="shared" si="3"/>
        <v>0</v>
      </c>
      <c r="J25" s="7"/>
    </row>
    <row r="26" spans="1:10" ht="34.5" customHeight="1" x14ac:dyDescent="0.4">
      <c r="A26" s="11">
        <v>24</v>
      </c>
      <c r="B26" s="12" t="s">
        <v>31</v>
      </c>
      <c r="C26" s="13" t="s">
        <v>52</v>
      </c>
      <c r="D26" s="13" t="s">
        <v>53</v>
      </c>
      <c r="E26" s="12">
        <v>1</v>
      </c>
      <c r="F26" s="12">
        <v>0</v>
      </c>
      <c r="G26" s="12">
        <f t="shared" si="2"/>
        <v>0</v>
      </c>
      <c r="H26" s="16">
        <v>0</v>
      </c>
      <c r="I26" s="16">
        <f t="shared" si="3"/>
        <v>0</v>
      </c>
      <c r="J26" s="7"/>
    </row>
    <row r="27" spans="1:10" s="4" customFormat="1" ht="34.5" customHeight="1" x14ac:dyDescent="0.4">
      <c r="A27" s="17" t="s">
        <v>10</v>
      </c>
      <c r="B27" s="17"/>
      <c r="C27" s="17"/>
      <c r="D27" s="17" t="s">
        <v>49</v>
      </c>
      <c r="E27" s="9">
        <f>SUM(E2:E26)</f>
        <v>144</v>
      </c>
      <c r="F27" s="17" t="s">
        <v>50</v>
      </c>
      <c r="G27" s="9">
        <f>SUM(G2:G26)</f>
        <v>274.75</v>
      </c>
      <c r="H27" s="18" t="s">
        <v>51</v>
      </c>
      <c r="I27" s="10">
        <f>SUM(I2:I26)</f>
        <v>203.53599999999997</v>
      </c>
      <c r="J27" s="8"/>
    </row>
    <row r="28" spans="1:10" ht="21" x14ac:dyDescent="0.35">
      <c r="I28" s="19">
        <f ca="1">NOW()</f>
        <v>41728.917042592591</v>
      </c>
    </row>
  </sheetData>
  <phoneticPr fontId="4" type="noConversion"/>
  <pageMargins left="0.75" right="0.75" top="1" bottom="1" header="0.5" footer="0.5"/>
  <pageSetup scale="34" fitToHeight="0" orientation="landscape" horizontalDpi="4294967292" verticalDpi="4294967292" r:id="rId1"/>
  <headerFooter>
    <oddHeader>&amp;C&amp;"Arial,Regular"&amp;72First Quadcopter Build</oddHeader>
  </headerFooter>
  <extLst>
    <ext xmlns:mx="http://schemas.microsoft.com/office/mac/excel/2008/main" uri="{64002731-A6B0-56B0-2670-7721B7C09600}">
      <mx:PLV Mode="0" OnePage="0" WScale="65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zoomScaleNormal="100" workbookViewId="0">
      <selection activeCell="B22" sqref="B22"/>
    </sheetView>
  </sheetViews>
  <sheetFormatPr defaultRowHeight="15.75" x14ac:dyDescent="0.25"/>
  <cols>
    <col min="1" max="1" width="4.125" customWidth="1"/>
    <col min="2" max="2" width="5.875" bestFit="1" customWidth="1"/>
    <col min="3" max="3" width="5.25" customWidth="1"/>
    <col min="4" max="4" width="5.375" style="22" bestFit="1" customWidth="1"/>
    <col min="5" max="5" width="4.375" style="22" bestFit="1" customWidth="1"/>
    <col min="6" max="6" width="7.375" style="20" bestFit="1" customWidth="1"/>
    <col min="7" max="7" width="4.25" style="23" bestFit="1" customWidth="1"/>
    <col min="8" max="8" width="3.375" bestFit="1" customWidth="1"/>
    <col min="9" max="9" width="3.875" bestFit="1" customWidth="1"/>
    <col min="10" max="12" width="5.375" bestFit="1" customWidth="1"/>
    <col min="13" max="14" width="4.375" bestFit="1" customWidth="1"/>
    <col min="15" max="15" width="4.25" bestFit="1" customWidth="1"/>
    <col min="16" max="17" width="3.375" bestFit="1" customWidth="1"/>
    <col min="18" max="18" width="3.875" bestFit="1" customWidth="1"/>
    <col min="19" max="21" width="5.375" bestFit="1" customWidth="1"/>
    <col min="22" max="23" width="4.375" bestFit="1" customWidth="1"/>
    <col min="24" max="24" width="4.25" bestFit="1" customWidth="1"/>
    <col min="25" max="26" width="3.375" bestFit="1" customWidth="1"/>
    <col min="27" max="27" width="3.875" bestFit="1" customWidth="1"/>
    <col min="28" max="30" width="5.375" bestFit="1" customWidth="1"/>
    <col min="31" max="32" width="4.375" bestFit="1" customWidth="1"/>
    <col min="33" max="33" width="4.25" bestFit="1" customWidth="1"/>
    <col min="34" max="35" width="3.375" bestFit="1" customWidth="1"/>
    <col min="36" max="36" width="3.875" bestFit="1" customWidth="1"/>
    <col min="37" max="39" width="5.375" bestFit="1" customWidth="1"/>
    <col min="40" max="41" width="4.375" bestFit="1" customWidth="1"/>
    <col min="42" max="42" width="4.25" bestFit="1" customWidth="1"/>
  </cols>
  <sheetData>
    <row r="1" spans="1:7" s="28" customFormat="1" x14ac:dyDescent="0.25">
      <c r="A1" s="28" t="s">
        <v>58</v>
      </c>
      <c r="D1" s="34"/>
      <c r="E1" s="34"/>
      <c r="F1" s="35"/>
      <c r="G1" s="36"/>
    </row>
    <row r="2" spans="1:7" s="30" customFormat="1" ht="168" x14ac:dyDescent="0.25">
      <c r="A2" s="30" t="s">
        <v>57</v>
      </c>
      <c r="B2" s="30" t="s">
        <v>59</v>
      </c>
      <c r="C2" s="30" t="s">
        <v>60</v>
      </c>
      <c r="D2" s="31" t="s">
        <v>61</v>
      </c>
      <c r="E2" s="31"/>
      <c r="F2" s="32" t="s">
        <v>62</v>
      </c>
      <c r="G2" s="33" t="s">
        <v>66</v>
      </c>
    </row>
    <row r="3" spans="1:7" x14ac:dyDescent="0.25">
      <c r="A3">
        <v>5</v>
      </c>
      <c r="B3">
        <v>398.2</v>
      </c>
      <c r="C3">
        <f>B3/(2*(SIN(RADIANS(22.5))+COS(RADIANS(22.5))))-(A3*25.4)</f>
        <v>25.384542767778726</v>
      </c>
    </row>
    <row r="4" spans="1:7" x14ac:dyDescent="0.25">
      <c r="A4">
        <v>5</v>
      </c>
      <c r="C4">
        <f>(B4-2*(A4*25.4))/2</f>
        <v>-127</v>
      </c>
    </row>
    <row r="5" spans="1:7" x14ac:dyDescent="0.25">
      <c r="A5">
        <v>5</v>
      </c>
    </row>
    <row r="6" spans="1:7" x14ac:dyDescent="0.25">
      <c r="A6">
        <v>5</v>
      </c>
    </row>
    <row r="7" spans="1:7" x14ac:dyDescent="0.25">
      <c r="A7">
        <v>5</v>
      </c>
      <c r="C7">
        <f>DEGREES(22.5)</f>
        <v>1289.1550390443522</v>
      </c>
    </row>
    <row r="8" spans="1:7" x14ac:dyDescent="0.25">
      <c r="A8">
        <v>5</v>
      </c>
    </row>
    <row r="9" spans="1:7" x14ac:dyDescent="0.25">
      <c r="A9">
        <v>5</v>
      </c>
    </row>
    <row r="10" spans="1:7" x14ac:dyDescent="0.25">
      <c r="A10">
        <v>5</v>
      </c>
    </row>
    <row r="11" spans="1:7" x14ac:dyDescent="0.25">
      <c r="A11">
        <v>5</v>
      </c>
    </row>
    <row r="12" spans="1:7" x14ac:dyDescent="0.25">
      <c r="A12">
        <v>5</v>
      </c>
    </row>
    <row r="14" spans="1:7" x14ac:dyDescent="0.25">
      <c r="A14" t="s">
        <v>67</v>
      </c>
    </row>
    <row r="15" spans="1:7" s="24" customFormat="1" ht="147" x14ac:dyDescent="0.25">
      <c r="A15" s="24" t="s">
        <v>57</v>
      </c>
      <c r="B15" s="24" t="s">
        <v>68</v>
      </c>
      <c r="C15" s="24" t="s">
        <v>69</v>
      </c>
      <c r="D15" s="25" t="s">
        <v>63</v>
      </c>
      <c r="E15" s="25" t="s">
        <v>65</v>
      </c>
      <c r="F15" s="26" t="s">
        <v>64</v>
      </c>
      <c r="G15" s="27" t="s">
        <v>66</v>
      </c>
    </row>
    <row r="16" spans="1:7" x14ac:dyDescent="0.25">
      <c r="A16">
        <v>5</v>
      </c>
      <c r="B16">
        <f>A16*2</f>
        <v>10</v>
      </c>
      <c r="C16" s="21">
        <f>(B16/2)-A16</f>
        <v>0</v>
      </c>
      <c r="D16" s="20">
        <f t="shared" ref="D16:D47" si="0">((B16/2) + ((A16)/2)/COS(RADIANS(30)))</f>
        <v>7.8867513459481291</v>
      </c>
      <c r="E16" s="20">
        <f t="shared" ref="E16:E47" si="1">(PI()*(A16/(2*12))^2)*6</f>
        <v>0.81812308687234203</v>
      </c>
      <c r="F16" s="20">
        <f>(((3*SQRT(3))/2)*((D16/12)^2))</f>
        <v>1.1222398637391935</v>
      </c>
      <c r="G16" s="23">
        <f>E16/F16</f>
        <v>0.72900911231796373</v>
      </c>
    </row>
    <row r="17" spans="1:7" x14ac:dyDescent="0.25">
      <c r="A17">
        <v>5</v>
      </c>
      <c r="B17">
        <v>11</v>
      </c>
      <c r="C17" s="21">
        <f t="shared" ref="C17" si="2">(B17/2)-A17</f>
        <v>0.5</v>
      </c>
      <c r="D17" s="20">
        <f t="shared" si="0"/>
        <v>8.3867513459481291</v>
      </c>
      <c r="E17" s="20">
        <f t="shared" si="1"/>
        <v>0.81812308687234203</v>
      </c>
      <c r="F17" s="20">
        <f>(((3*SQRT(3))/2)*((D17/12)^2))</f>
        <v>1.2690447256114501</v>
      </c>
      <c r="G17" s="23">
        <f>E17/F17</f>
        <v>0.64467632256077867</v>
      </c>
    </row>
    <row r="18" spans="1:7" x14ac:dyDescent="0.25">
      <c r="A18">
        <v>5</v>
      </c>
      <c r="B18">
        <v>12</v>
      </c>
      <c r="C18" s="21">
        <f t="shared" ref="C18:C53" si="3">(B18/2)-A18</f>
        <v>1</v>
      </c>
      <c r="D18" s="20">
        <f t="shared" si="0"/>
        <v>8.8867513459481291</v>
      </c>
      <c r="E18" s="20">
        <f t="shared" si="1"/>
        <v>0.81812308687234203</v>
      </c>
      <c r="F18" s="20">
        <f t="shared" ref="F18:F53" si="4">(((3*SQRT(3))/2)*((D18/12)^2))</f>
        <v>1.4248706854397941</v>
      </c>
      <c r="G18" s="23">
        <f t="shared" ref="G18:G53" si="5">E18/F18</f>
        <v>0.57417356903502015</v>
      </c>
    </row>
    <row r="19" spans="1:7" x14ac:dyDescent="0.25">
      <c r="A19">
        <v>5</v>
      </c>
      <c r="B19">
        <v>13</v>
      </c>
      <c r="C19" s="21">
        <f t="shared" si="3"/>
        <v>1.5</v>
      </c>
      <c r="D19" s="20">
        <f t="shared" si="0"/>
        <v>9.3867513459481291</v>
      </c>
      <c r="E19" s="20">
        <f t="shared" si="1"/>
        <v>0.81812308687234203</v>
      </c>
      <c r="F19" s="20">
        <f t="shared" si="4"/>
        <v>1.5897177432242262</v>
      </c>
      <c r="G19" s="23">
        <f t="shared" si="5"/>
        <v>0.51463417978404458</v>
      </c>
    </row>
    <row r="20" spans="1:7" x14ac:dyDescent="0.25">
      <c r="A20">
        <v>5</v>
      </c>
      <c r="B20">
        <v>14</v>
      </c>
      <c r="C20" s="21">
        <f t="shared" si="3"/>
        <v>2</v>
      </c>
      <c r="D20" s="20">
        <f t="shared" si="0"/>
        <v>9.8867513459481291</v>
      </c>
      <c r="E20" s="20">
        <f t="shared" si="1"/>
        <v>0.81812308687234203</v>
      </c>
      <c r="F20" s="20">
        <f t="shared" si="4"/>
        <v>1.7635858989647464</v>
      </c>
      <c r="G20" s="23">
        <f t="shared" si="5"/>
        <v>0.46389749847319239</v>
      </c>
    </row>
    <row r="21" spans="1:7" x14ac:dyDescent="0.25">
      <c r="A21">
        <v>5</v>
      </c>
      <c r="B21">
        <v>15</v>
      </c>
      <c r="C21" s="21">
        <f t="shared" si="3"/>
        <v>2.5</v>
      </c>
      <c r="D21" s="20">
        <f t="shared" si="0"/>
        <v>10.386751345948129</v>
      </c>
      <c r="E21" s="20">
        <f t="shared" si="1"/>
        <v>0.81812308687234203</v>
      </c>
      <c r="F21" s="20">
        <f t="shared" si="4"/>
        <v>1.9464751526613542</v>
      </c>
      <c r="G21" s="23">
        <f t="shared" si="5"/>
        <v>0.4203100593160658</v>
      </c>
    </row>
    <row r="22" spans="1:7" x14ac:dyDescent="0.25">
      <c r="A22">
        <v>5</v>
      </c>
      <c r="B22">
        <v>16</v>
      </c>
      <c r="C22" s="21">
        <f t="shared" si="3"/>
        <v>3</v>
      </c>
      <c r="D22" s="20">
        <f t="shared" si="0"/>
        <v>10.886751345948129</v>
      </c>
      <c r="E22" s="20">
        <f t="shared" si="1"/>
        <v>0.81812308687234203</v>
      </c>
      <c r="F22" s="20">
        <f t="shared" si="4"/>
        <v>2.1383855043140496</v>
      </c>
      <c r="G22" s="23">
        <f t="shared" si="5"/>
        <v>0.38258914738331018</v>
      </c>
    </row>
    <row r="23" spans="1:7" x14ac:dyDescent="0.25">
      <c r="A23">
        <v>5</v>
      </c>
      <c r="B23">
        <v>17</v>
      </c>
      <c r="C23" s="21">
        <f t="shared" si="3"/>
        <v>3.5</v>
      </c>
      <c r="D23" s="20">
        <f t="shared" si="0"/>
        <v>11.386751345948129</v>
      </c>
      <c r="E23" s="20">
        <f t="shared" si="1"/>
        <v>0.81812308687234203</v>
      </c>
      <c r="F23" s="20">
        <f t="shared" si="4"/>
        <v>2.3393169539228338</v>
      </c>
      <c r="G23" s="23">
        <f t="shared" si="5"/>
        <v>0.34972733622112206</v>
      </c>
    </row>
    <row r="24" spans="1:7" x14ac:dyDescent="0.25">
      <c r="A24">
        <v>5</v>
      </c>
      <c r="B24">
        <v>18</v>
      </c>
      <c r="C24" s="21">
        <f t="shared" si="3"/>
        <v>4</v>
      </c>
      <c r="D24" s="20">
        <f t="shared" si="0"/>
        <v>11.886751345948129</v>
      </c>
      <c r="E24" s="20">
        <f t="shared" si="1"/>
        <v>0.81812308687234203</v>
      </c>
      <c r="F24" s="20">
        <f t="shared" si="4"/>
        <v>2.5492695014877054</v>
      </c>
      <c r="G24" s="23">
        <f t="shared" si="5"/>
        <v>0.32092451833550784</v>
      </c>
    </row>
    <row r="25" spans="1:7" x14ac:dyDescent="0.25">
      <c r="A25">
        <v>5</v>
      </c>
      <c r="B25">
        <v>19</v>
      </c>
      <c r="C25" s="21">
        <f t="shared" si="3"/>
        <v>4.5</v>
      </c>
      <c r="D25" s="20">
        <f t="shared" si="0"/>
        <v>12.386751345948129</v>
      </c>
      <c r="E25" s="20">
        <f t="shared" si="1"/>
        <v>0.81812308687234203</v>
      </c>
      <c r="F25" s="20">
        <f t="shared" si="4"/>
        <v>2.7682431470086653</v>
      </c>
      <c r="G25" s="23">
        <f t="shared" si="5"/>
        <v>0.29553873826307392</v>
      </c>
    </row>
    <row r="26" spans="1:7" x14ac:dyDescent="0.25">
      <c r="A26">
        <v>5</v>
      </c>
      <c r="B26">
        <v>20</v>
      </c>
      <c r="C26" s="21">
        <f t="shared" si="3"/>
        <v>5</v>
      </c>
      <c r="D26" s="20">
        <f t="shared" si="0"/>
        <v>12.886751345948129</v>
      </c>
      <c r="E26" s="20">
        <f t="shared" si="1"/>
        <v>0.81812308687234203</v>
      </c>
      <c r="F26" s="20">
        <f t="shared" si="4"/>
        <v>2.9962378904857117</v>
      </c>
      <c r="G26" s="23">
        <f t="shared" si="5"/>
        <v>0.27305011043022304</v>
      </c>
    </row>
    <row r="27" spans="1:7" x14ac:dyDescent="0.25">
      <c r="A27">
        <v>6</v>
      </c>
      <c r="B27" s="22">
        <f>A27*2</f>
        <v>12</v>
      </c>
      <c r="C27" s="21">
        <f t="shared" si="3"/>
        <v>0</v>
      </c>
      <c r="D27" s="20">
        <f t="shared" si="0"/>
        <v>9.4641016151377535</v>
      </c>
      <c r="E27" s="20">
        <f t="shared" si="1"/>
        <v>1.1780972450961724</v>
      </c>
      <c r="F27" s="20">
        <f t="shared" si="4"/>
        <v>1.6160254037844382</v>
      </c>
      <c r="G27" s="23">
        <f t="shared" si="5"/>
        <v>0.72900911231796384</v>
      </c>
    </row>
    <row r="28" spans="1:7" x14ac:dyDescent="0.25">
      <c r="A28">
        <v>6</v>
      </c>
      <c r="B28">
        <v>13</v>
      </c>
      <c r="C28" s="21">
        <f t="shared" si="3"/>
        <v>0.5</v>
      </c>
      <c r="D28" s="20">
        <f t="shared" si="0"/>
        <v>9.9641016151377535</v>
      </c>
      <c r="E28" s="20">
        <f t="shared" si="1"/>
        <v>1.1780972450961724</v>
      </c>
      <c r="F28" s="20">
        <f t="shared" si="4"/>
        <v>1.7912891282355372</v>
      </c>
      <c r="G28" s="23">
        <f t="shared" si="5"/>
        <v>0.65768123443959403</v>
      </c>
    </row>
    <row r="29" spans="1:7" x14ac:dyDescent="0.25">
      <c r="A29">
        <v>6</v>
      </c>
      <c r="B29">
        <v>14</v>
      </c>
      <c r="C29" s="21">
        <f t="shared" si="3"/>
        <v>1</v>
      </c>
      <c r="D29" s="20">
        <f t="shared" si="0"/>
        <v>10.464101615137753</v>
      </c>
      <c r="E29" s="20">
        <f t="shared" si="1"/>
        <v>1.1780972450961724</v>
      </c>
      <c r="F29" s="20">
        <f t="shared" si="4"/>
        <v>1.9755739506427239</v>
      </c>
      <c r="G29" s="23">
        <f t="shared" si="5"/>
        <v>0.59633163552946011</v>
      </c>
    </row>
    <row r="30" spans="1:7" x14ac:dyDescent="0.25">
      <c r="A30">
        <v>6</v>
      </c>
      <c r="B30">
        <v>15</v>
      </c>
      <c r="C30" s="21">
        <f t="shared" si="3"/>
        <v>1.5</v>
      </c>
      <c r="D30" s="20">
        <f t="shared" si="0"/>
        <v>10.964101615137753</v>
      </c>
      <c r="E30" s="20">
        <f t="shared" si="1"/>
        <v>1.1780972450961724</v>
      </c>
      <c r="F30" s="20">
        <f t="shared" si="4"/>
        <v>2.168879871005998</v>
      </c>
      <c r="G30" s="23">
        <f t="shared" si="5"/>
        <v>0.54318234073043981</v>
      </c>
    </row>
    <row r="31" spans="1:7" x14ac:dyDescent="0.25">
      <c r="A31">
        <v>6</v>
      </c>
      <c r="B31">
        <v>16</v>
      </c>
      <c r="C31" s="21">
        <f t="shared" si="3"/>
        <v>2</v>
      </c>
      <c r="D31" s="20">
        <f t="shared" si="0"/>
        <v>11.464101615137753</v>
      </c>
      <c r="E31" s="20">
        <f t="shared" si="1"/>
        <v>1.1780972450961724</v>
      </c>
      <c r="F31" s="20">
        <f t="shared" si="4"/>
        <v>2.3712068893253608</v>
      </c>
      <c r="G31" s="23">
        <f t="shared" si="5"/>
        <v>0.49683443920465176</v>
      </c>
    </row>
    <row r="32" spans="1:7" x14ac:dyDescent="0.25">
      <c r="A32">
        <v>6</v>
      </c>
      <c r="B32">
        <v>17</v>
      </c>
      <c r="C32" s="21">
        <f t="shared" si="3"/>
        <v>2.5</v>
      </c>
      <c r="D32" s="20">
        <f t="shared" si="0"/>
        <v>11.964101615137753</v>
      </c>
      <c r="E32" s="20">
        <f t="shared" si="1"/>
        <v>1.1780972450961724</v>
      </c>
      <c r="F32" s="20">
        <f t="shared" si="4"/>
        <v>2.5825550056008111</v>
      </c>
      <c r="G32" s="23">
        <f t="shared" si="5"/>
        <v>0.45617508341205587</v>
      </c>
    </row>
    <row r="33" spans="1:7" x14ac:dyDescent="0.25">
      <c r="A33">
        <v>6</v>
      </c>
      <c r="B33">
        <v>18</v>
      </c>
      <c r="C33" s="21">
        <f t="shared" si="3"/>
        <v>3</v>
      </c>
      <c r="D33" s="20">
        <f t="shared" si="0"/>
        <v>12.464101615137753</v>
      </c>
      <c r="E33" s="20">
        <f t="shared" si="1"/>
        <v>1.1780972450961724</v>
      </c>
      <c r="F33" s="20">
        <f t="shared" si="4"/>
        <v>2.8029242198323501</v>
      </c>
      <c r="G33" s="23">
        <f t="shared" si="5"/>
        <v>0.42031005931606574</v>
      </c>
    </row>
    <row r="34" spans="1:7" x14ac:dyDescent="0.25">
      <c r="A34">
        <v>6</v>
      </c>
      <c r="B34">
        <v>19</v>
      </c>
      <c r="C34" s="21">
        <f t="shared" si="3"/>
        <v>3.5</v>
      </c>
      <c r="D34" s="20">
        <f t="shared" si="0"/>
        <v>12.964101615137753</v>
      </c>
      <c r="E34" s="20">
        <f t="shared" si="1"/>
        <v>1.1780972450961724</v>
      </c>
      <c r="F34" s="20">
        <f t="shared" si="4"/>
        <v>3.0323145320199756</v>
      </c>
      <c r="G34" s="23">
        <f t="shared" si="5"/>
        <v>0.38851419688028971</v>
      </c>
    </row>
    <row r="35" spans="1:7" x14ac:dyDescent="0.25">
      <c r="A35">
        <v>6</v>
      </c>
      <c r="B35">
        <v>20</v>
      </c>
      <c r="C35" s="21">
        <f t="shared" si="3"/>
        <v>4</v>
      </c>
      <c r="D35" s="20">
        <f t="shared" si="0"/>
        <v>13.464101615137753</v>
      </c>
      <c r="E35" s="20">
        <f t="shared" si="1"/>
        <v>1.1780972450961724</v>
      </c>
      <c r="F35" s="20">
        <f t="shared" si="4"/>
        <v>3.2707259421636894</v>
      </c>
      <c r="G35" s="23">
        <f t="shared" si="5"/>
        <v>0.36019442347921804</v>
      </c>
    </row>
    <row r="36" spans="1:7" x14ac:dyDescent="0.25">
      <c r="A36">
        <v>6</v>
      </c>
      <c r="B36">
        <v>21</v>
      </c>
      <c r="C36" s="21">
        <f t="shared" si="3"/>
        <v>4.5</v>
      </c>
      <c r="D36" s="20">
        <f t="shared" si="0"/>
        <v>13.964101615137753</v>
      </c>
      <c r="E36" s="20">
        <f t="shared" si="1"/>
        <v>1.1780972450961724</v>
      </c>
      <c r="F36" s="20">
        <f t="shared" si="4"/>
        <v>3.5181584502634924</v>
      </c>
      <c r="G36" s="23">
        <f t="shared" si="5"/>
        <v>0.33486190623618411</v>
      </c>
    </row>
    <row r="37" spans="1:7" x14ac:dyDescent="0.25">
      <c r="A37">
        <v>6</v>
      </c>
      <c r="B37">
        <v>22</v>
      </c>
      <c r="C37" s="21">
        <f t="shared" si="3"/>
        <v>5</v>
      </c>
      <c r="D37" s="20">
        <f t="shared" si="0"/>
        <v>14.464101615137753</v>
      </c>
      <c r="E37" s="20">
        <f t="shared" si="1"/>
        <v>1.1780972450961724</v>
      </c>
      <c r="F37" s="20">
        <f t="shared" si="4"/>
        <v>3.774612056319381</v>
      </c>
      <c r="G37" s="23">
        <f t="shared" si="5"/>
        <v>0.31211081497072668</v>
      </c>
    </row>
    <row r="38" spans="1:7" x14ac:dyDescent="0.25">
      <c r="A38">
        <v>6</v>
      </c>
      <c r="B38">
        <v>23</v>
      </c>
      <c r="C38" s="21">
        <f t="shared" si="3"/>
        <v>5.5</v>
      </c>
      <c r="D38" s="20">
        <f t="shared" si="0"/>
        <v>14.964101615137753</v>
      </c>
      <c r="E38" s="20">
        <f t="shared" si="1"/>
        <v>1.1780972450961724</v>
      </c>
      <c r="F38" s="20">
        <f t="shared" si="4"/>
        <v>4.0400867603313593</v>
      </c>
      <c r="G38" s="23">
        <f t="shared" si="5"/>
        <v>0.29160196673586963</v>
      </c>
    </row>
    <row r="39" spans="1:7" x14ac:dyDescent="0.25">
      <c r="A39">
        <v>6</v>
      </c>
      <c r="B39">
        <v>24</v>
      </c>
      <c r="C39" s="21">
        <f t="shared" si="3"/>
        <v>6</v>
      </c>
      <c r="D39" s="20">
        <f t="shared" si="0"/>
        <v>15.464101615137753</v>
      </c>
      <c r="E39" s="20">
        <f t="shared" si="1"/>
        <v>1.1780972450961724</v>
      </c>
      <c r="F39" s="20">
        <f t="shared" si="4"/>
        <v>4.3145825622994254</v>
      </c>
      <c r="G39" s="23">
        <f t="shared" si="5"/>
        <v>0.27305011043022298</v>
      </c>
    </row>
    <row r="40" spans="1:7" x14ac:dyDescent="0.25">
      <c r="A40">
        <v>7</v>
      </c>
      <c r="B40" s="22">
        <v>14</v>
      </c>
      <c r="C40" s="21">
        <f t="shared" si="3"/>
        <v>0</v>
      </c>
      <c r="D40" s="20">
        <f t="shared" si="0"/>
        <v>11.04145188432738</v>
      </c>
      <c r="E40" s="20">
        <f t="shared" si="1"/>
        <v>1.6035212502697904</v>
      </c>
      <c r="F40" s="20">
        <f t="shared" si="4"/>
        <v>2.1995901329288192</v>
      </c>
      <c r="G40" s="23">
        <f t="shared" si="5"/>
        <v>0.72900911231796373</v>
      </c>
    </row>
    <row r="41" spans="1:7" x14ac:dyDescent="0.25">
      <c r="A41">
        <v>7</v>
      </c>
      <c r="B41" s="22">
        <v>15</v>
      </c>
      <c r="C41" s="21">
        <f t="shared" si="3"/>
        <v>0.5</v>
      </c>
      <c r="D41" s="20">
        <f t="shared" si="0"/>
        <v>11.54145188432738</v>
      </c>
      <c r="E41" s="20">
        <f t="shared" si="1"/>
        <v>1.6035212502697904</v>
      </c>
      <c r="F41" s="20">
        <f t="shared" si="4"/>
        <v>2.4033127199587603</v>
      </c>
      <c r="G41" s="23">
        <f t="shared" si="5"/>
        <v>0.66721290032422664</v>
      </c>
    </row>
    <row r="42" spans="1:7" x14ac:dyDescent="0.25">
      <c r="A42">
        <v>7</v>
      </c>
      <c r="B42" s="22">
        <v>16</v>
      </c>
      <c r="C42" s="21">
        <f t="shared" si="3"/>
        <v>1</v>
      </c>
      <c r="D42" s="20">
        <f t="shared" si="0"/>
        <v>12.04145188432738</v>
      </c>
      <c r="E42" s="20">
        <f t="shared" si="1"/>
        <v>1.6035212502697904</v>
      </c>
      <c r="F42" s="20">
        <f t="shared" si="4"/>
        <v>2.6160564049447896</v>
      </c>
      <c r="G42" s="23">
        <f t="shared" si="5"/>
        <v>0.61295362257436947</v>
      </c>
    </row>
    <row r="43" spans="1:7" x14ac:dyDescent="0.25">
      <c r="A43">
        <v>7</v>
      </c>
      <c r="B43" s="22">
        <v>17</v>
      </c>
      <c r="C43" s="21">
        <f t="shared" si="3"/>
        <v>1.5</v>
      </c>
      <c r="D43" s="20">
        <f t="shared" si="0"/>
        <v>12.54145188432738</v>
      </c>
      <c r="E43" s="20">
        <f t="shared" si="1"/>
        <v>1.6035212502697904</v>
      </c>
      <c r="F43" s="20">
        <f t="shared" si="4"/>
        <v>2.837821187886906</v>
      </c>
      <c r="G43" s="23">
        <f t="shared" si="5"/>
        <v>0.56505366057394257</v>
      </c>
    </row>
    <row r="44" spans="1:7" x14ac:dyDescent="0.25">
      <c r="A44">
        <v>7</v>
      </c>
      <c r="B44" s="22">
        <v>18</v>
      </c>
      <c r="C44" s="21">
        <f t="shared" si="3"/>
        <v>2</v>
      </c>
      <c r="D44" s="20">
        <f t="shared" si="0"/>
        <v>13.04145188432738</v>
      </c>
      <c r="E44" s="20">
        <f t="shared" si="1"/>
        <v>1.6035212502697904</v>
      </c>
      <c r="F44" s="20">
        <f t="shared" si="4"/>
        <v>3.0686070687851115</v>
      </c>
      <c r="G44" s="23">
        <f t="shared" si="5"/>
        <v>0.52255672177169254</v>
      </c>
    </row>
    <row r="45" spans="1:7" x14ac:dyDescent="0.25">
      <c r="A45">
        <v>7</v>
      </c>
      <c r="B45" s="22">
        <v>19</v>
      </c>
      <c r="C45" s="21">
        <f t="shared" si="3"/>
        <v>2.5</v>
      </c>
      <c r="D45" s="20">
        <f t="shared" si="0"/>
        <v>13.54145188432738</v>
      </c>
      <c r="E45" s="20">
        <f t="shared" si="1"/>
        <v>1.6035212502697904</v>
      </c>
      <c r="F45" s="20">
        <f t="shared" si="4"/>
        <v>3.3084140476394048</v>
      </c>
      <c r="G45" s="23">
        <f t="shared" si="5"/>
        <v>0.48467973693133209</v>
      </c>
    </row>
    <row r="46" spans="1:7" x14ac:dyDescent="0.25">
      <c r="A46">
        <v>7</v>
      </c>
      <c r="B46" s="22">
        <v>20</v>
      </c>
      <c r="C46" s="21">
        <f t="shared" si="3"/>
        <v>3</v>
      </c>
      <c r="D46" s="20">
        <f t="shared" si="0"/>
        <v>14.04145188432738</v>
      </c>
      <c r="E46" s="20">
        <f t="shared" si="1"/>
        <v>1.6035212502697904</v>
      </c>
      <c r="F46" s="20">
        <f t="shared" si="4"/>
        <v>3.5572421244497847</v>
      </c>
      <c r="G46" s="23">
        <f t="shared" si="5"/>
        <v>0.45077652691909875</v>
      </c>
    </row>
    <row r="47" spans="1:7" x14ac:dyDescent="0.25">
      <c r="A47">
        <v>7</v>
      </c>
      <c r="B47" s="22">
        <v>21</v>
      </c>
      <c r="C47" s="21">
        <f t="shared" si="3"/>
        <v>3.5</v>
      </c>
      <c r="D47" s="20">
        <f t="shared" si="0"/>
        <v>14.54145188432738</v>
      </c>
      <c r="E47" s="20">
        <f t="shared" si="1"/>
        <v>1.6035212502697904</v>
      </c>
      <c r="F47" s="20">
        <f t="shared" si="4"/>
        <v>3.8150912992162538</v>
      </c>
      <c r="G47" s="23">
        <f t="shared" si="5"/>
        <v>0.42031005931606585</v>
      </c>
    </row>
    <row r="48" spans="1:7" x14ac:dyDescent="0.25">
      <c r="A48">
        <v>7</v>
      </c>
      <c r="B48" s="22">
        <v>22</v>
      </c>
      <c r="C48" s="21">
        <f t="shared" si="3"/>
        <v>4</v>
      </c>
      <c r="D48" s="20">
        <f t="shared" ref="D48:D79" si="6">((B48/2) + ((A48)/2)/COS(RADIANS(30)))</f>
        <v>15.04145188432738</v>
      </c>
      <c r="E48" s="20">
        <f t="shared" ref="E48:E79" si="7">(PI()*(A48/(2*12))^2)*6</f>
        <v>1.6035212502697904</v>
      </c>
      <c r="F48" s="20">
        <f t="shared" si="4"/>
        <v>4.0819615719388107</v>
      </c>
      <c r="G48" s="23">
        <f t="shared" si="5"/>
        <v>0.39283104997682899</v>
      </c>
    </row>
    <row r="49" spans="1:7" x14ac:dyDescent="0.25">
      <c r="A49">
        <v>7</v>
      </c>
      <c r="B49" s="22">
        <v>23</v>
      </c>
      <c r="C49" s="21">
        <f t="shared" si="3"/>
        <v>4.5</v>
      </c>
      <c r="D49" s="20">
        <f t="shared" si="6"/>
        <v>15.54145188432738</v>
      </c>
      <c r="E49" s="20">
        <f t="shared" si="7"/>
        <v>1.6035212502697904</v>
      </c>
      <c r="F49" s="20">
        <f t="shared" si="4"/>
        <v>4.3578529426174546</v>
      </c>
      <c r="G49" s="23">
        <f t="shared" si="5"/>
        <v>0.36796130373932912</v>
      </c>
    </row>
    <row r="50" spans="1:7" x14ac:dyDescent="0.25">
      <c r="A50">
        <v>7</v>
      </c>
      <c r="B50" s="22">
        <v>24</v>
      </c>
      <c r="C50" s="21">
        <f t="shared" si="3"/>
        <v>5</v>
      </c>
      <c r="D50" s="20">
        <f t="shared" si="6"/>
        <v>16.04145188432738</v>
      </c>
      <c r="E50" s="20">
        <f t="shared" si="7"/>
        <v>1.6035212502697904</v>
      </c>
      <c r="F50" s="20">
        <f t="shared" si="4"/>
        <v>4.6427654112521868</v>
      </c>
      <c r="G50" s="23">
        <f t="shared" si="5"/>
        <v>0.34538063163465099</v>
      </c>
    </row>
    <row r="51" spans="1:7" x14ac:dyDescent="0.25">
      <c r="A51">
        <v>7</v>
      </c>
      <c r="B51" s="22">
        <v>25</v>
      </c>
      <c r="C51" s="21">
        <f t="shared" si="3"/>
        <v>5.5</v>
      </c>
      <c r="D51" s="20">
        <f t="shared" si="6"/>
        <v>16.54145188432738</v>
      </c>
      <c r="E51" s="20">
        <f t="shared" si="7"/>
        <v>1.6035212502697904</v>
      </c>
      <c r="F51" s="20">
        <f t="shared" si="4"/>
        <v>4.9366989778430082</v>
      </c>
      <c r="G51" s="23">
        <f t="shared" si="5"/>
        <v>0.32481649326133655</v>
      </c>
    </row>
    <row r="52" spans="1:7" x14ac:dyDescent="0.25">
      <c r="A52">
        <v>7</v>
      </c>
      <c r="B52" s="22">
        <v>26</v>
      </c>
      <c r="C52" s="21">
        <f t="shared" si="3"/>
        <v>6</v>
      </c>
      <c r="D52" s="20">
        <f t="shared" si="6"/>
        <v>17.04145188432738</v>
      </c>
      <c r="E52" s="20">
        <f t="shared" si="7"/>
        <v>1.6035212502697904</v>
      </c>
      <c r="F52" s="20">
        <f t="shared" si="4"/>
        <v>5.2396536423899152</v>
      </c>
      <c r="G52" s="23">
        <f t="shared" si="5"/>
        <v>0.306035734365524</v>
      </c>
    </row>
    <row r="53" spans="1:7" x14ac:dyDescent="0.25">
      <c r="A53">
        <v>7</v>
      </c>
      <c r="B53" s="22">
        <v>27</v>
      </c>
      <c r="C53" s="21">
        <f t="shared" si="3"/>
        <v>6.5</v>
      </c>
      <c r="D53" s="20">
        <f t="shared" si="6"/>
        <v>17.54145188432738</v>
      </c>
      <c r="E53" s="20">
        <f t="shared" si="7"/>
        <v>1.6035212502697904</v>
      </c>
      <c r="F53" s="20">
        <f t="shared" si="4"/>
        <v>5.5516294048929122</v>
      </c>
      <c r="G53" s="23">
        <f t="shared" si="5"/>
        <v>0.28883794888335518</v>
      </c>
    </row>
    <row r="54" spans="1:7" x14ac:dyDescent="0.25">
      <c r="A54">
        <v>7</v>
      </c>
      <c r="B54" s="22">
        <v>28</v>
      </c>
      <c r="C54" s="21">
        <f t="shared" ref="C54:C92" si="8">(B54/2)-A54</f>
        <v>7</v>
      </c>
      <c r="D54" s="20">
        <f t="shared" si="6"/>
        <v>18.04145188432738</v>
      </c>
      <c r="E54" s="20">
        <f t="shared" si="7"/>
        <v>1.6035212502697904</v>
      </c>
      <c r="F54" s="20">
        <f t="shared" ref="F54:F92" si="9">(((3*SQRT(3))/2)*((D54/12)^2))</f>
        <v>5.8726262653519958</v>
      </c>
      <c r="G54" s="23">
        <f t="shared" ref="G54:G92" si="10">E54/F54</f>
        <v>0.27305011043022298</v>
      </c>
    </row>
    <row r="55" spans="1:7" x14ac:dyDescent="0.25">
      <c r="A55">
        <v>8</v>
      </c>
      <c r="B55" s="22">
        <v>16</v>
      </c>
      <c r="C55" s="21">
        <f t="shared" si="8"/>
        <v>0</v>
      </c>
      <c r="D55" s="20">
        <f t="shared" si="6"/>
        <v>12.618802153517006</v>
      </c>
      <c r="E55" s="20">
        <f t="shared" si="7"/>
        <v>2.0943951023931953</v>
      </c>
      <c r="F55" s="20">
        <f t="shared" si="9"/>
        <v>2.8729340511723351</v>
      </c>
      <c r="G55" s="23">
        <f t="shared" si="10"/>
        <v>0.72900911231796373</v>
      </c>
    </row>
    <row r="56" spans="1:7" x14ac:dyDescent="0.25">
      <c r="A56">
        <v>8</v>
      </c>
      <c r="B56">
        <v>17</v>
      </c>
      <c r="C56" s="21">
        <f t="shared" si="8"/>
        <v>0.5</v>
      </c>
      <c r="D56" s="20">
        <f t="shared" si="6"/>
        <v>13.118802153517006</v>
      </c>
      <c r="E56" s="20">
        <f t="shared" si="7"/>
        <v>2.0943951023931953</v>
      </c>
      <c r="F56" s="20">
        <f t="shared" si="9"/>
        <v>3.1051155007811193</v>
      </c>
      <c r="G56" s="23">
        <f t="shared" si="10"/>
        <v>0.67449829221049318</v>
      </c>
    </row>
    <row r="57" spans="1:7" x14ac:dyDescent="0.25">
      <c r="A57">
        <v>8</v>
      </c>
      <c r="B57" s="22">
        <v>18</v>
      </c>
      <c r="C57" s="21">
        <f t="shared" si="8"/>
        <v>1</v>
      </c>
      <c r="D57" s="20">
        <f t="shared" si="6"/>
        <v>13.618802153517006</v>
      </c>
      <c r="E57" s="20">
        <f t="shared" si="7"/>
        <v>2.0943951023931953</v>
      </c>
      <c r="F57" s="20">
        <f t="shared" si="9"/>
        <v>3.34631804834599</v>
      </c>
      <c r="G57" s="23">
        <f t="shared" si="10"/>
        <v>0.62588046686967125</v>
      </c>
    </row>
    <row r="58" spans="1:7" x14ac:dyDescent="0.25">
      <c r="A58">
        <v>8</v>
      </c>
      <c r="B58">
        <v>19</v>
      </c>
      <c r="C58" s="21">
        <f t="shared" si="8"/>
        <v>1.5</v>
      </c>
      <c r="D58" s="20">
        <f t="shared" si="6"/>
        <v>14.118802153517006</v>
      </c>
      <c r="E58" s="20">
        <f t="shared" si="7"/>
        <v>2.0943951023931953</v>
      </c>
      <c r="F58" s="20">
        <f t="shared" si="9"/>
        <v>3.5965416938669503</v>
      </c>
      <c r="G58" s="23">
        <f t="shared" si="10"/>
        <v>0.58233583277087819</v>
      </c>
    </row>
    <row r="59" spans="1:7" x14ac:dyDescent="0.25">
      <c r="A59">
        <v>8</v>
      </c>
      <c r="B59" s="22">
        <v>20</v>
      </c>
      <c r="C59" s="21">
        <f t="shared" si="8"/>
        <v>2</v>
      </c>
      <c r="D59" s="20">
        <f t="shared" si="6"/>
        <v>14.618802153517006</v>
      </c>
      <c r="E59" s="20">
        <f t="shared" si="7"/>
        <v>2.0943951023931953</v>
      </c>
      <c r="F59" s="20">
        <f t="shared" si="9"/>
        <v>3.8557864373439981</v>
      </c>
      <c r="G59" s="23">
        <f t="shared" si="10"/>
        <v>0.54318234073043958</v>
      </c>
    </row>
    <row r="60" spans="1:7" x14ac:dyDescent="0.25">
      <c r="A60">
        <v>8</v>
      </c>
      <c r="B60">
        <v>21</v>
      </c>
      <c r="C60" s="21">
        <f t="shared" si="8"/>
        <v>2.5</v>
      </c>
      <c r="D60" s="20">
        <f t="shared" si="6"/>
        <v>15.118802153517006</v>
      </c>
      <c r="E60" s="20">
        <f t="shared" si="7"/>
        <v>2.0943951023931953</v>
      </c>
      <c r="F60" s="20">
        <f t="shared" si="9"/>
        <v>4.1240522787771319</v>
      </c>
      <c r="G60" s="23">
        <f t="shared" si="10"/>
        <v>0.50784882460661418</v>
      </c>
    </row>
    <row r="61" spans="1:7" x14ac:dyDescent="0.25">
      <c r="A61">
        <v>8</v>
      </c>
      <c r="B61" s="22">
        <v>22</v>
      </c>
      <c r="C61" s="21">
        <f t="shared" si="8"/>
        <v>3</v>
      </c>
      <c r="D61" s="20">
        <f t="shared" si="6"/>
        <v>15.618802153517006</v>
      </c>
      <c r="E61" s="20">
        <f t="shared" si="7"/>
        <v>2.0943951023931953</v>
      </c>
      <c r="F61" s="20">
        <f t="shared" si="9"/>
        <v>4.4013392181663562</v>
      </c>
      <c r="G61" s="23">
        <f t="shared" si="10"/>
        <v>0.47585405227314931</v>
      </c>
    </row>
    <row r="62" spans="1:7" x14ac:dyDescent="0.25">
      <c r="A62">
        <v>8</v>
      </c>
      <c r="B62">
        <v>23</v>
      </c>
      <c r="C62" s="21">
        <f t="shared" si="8"/>
        <v>3.5</v>
      </c>
      <c r="D62" s="20">
        <f t="shared" si="6"/>
        <v>16.118802153517006</v>
      </c>
      <c r="E62" s="20">
        <f t="shared" si="7"/>
        <v>2.0943951023931953</v>
      </c>
      <c r="F62" s="20">
        <f t="shared" si="9"/>
        <v>4.6876472555116679</v>
      </c>
      <c r="G62" s="23">
        <f t="shared" si="10"/>
        <v>0.44679025281406054</v>
      </c>
    </row>
    <row r="63" spans="1:7" x14ac:dyDescent="0.25">
      <c r="A63">
        <v>8</v>
      </c>
      <c r="B63" s="22">
        <v>24</v>
      </c>
      <c r="C63" s="21">
        <f t="shared" si="8"/>
        <v>4</v>
      </c>
      <c r="D63" s="20">
        <f t="shared" si="6"/>
        <v>16.618802153517006</v>
      </c>
      <c r="E63" s="20">
        <f t="shared" si="7"/>
        <v>2.0943951023931953</v>
      </c>
      <c r="F63" s="20">
        <f t="shared" si="9"/>
        <v>4.9829763908130662</v>
      </c>
      <c r="G63" s="23">
        <f t="shared" si="10"/>
        <v>0.4203100593160658</v>
      </c>
    </row>
    <row r="64" spans="1:7" x14ac:dyDescent="0.25">
      <c r="A64">
        <v>8</v>
      </c>
      <c r="B64">
        <v>25</v>
      </c>
      <c r="C64" s="21">
        <f t="shared" si="8"/>
        <v>4.5</v>
      </c>
      <c r="D64" s="20">
        <f t="shared" si="6"/>
        <v>17.118802153517006</v>
      </c>
      <c r="E64" s="20">
        <f t="shared" si="7"/>
        <v>2.0943951023931953</v>
      </c>
      <c r="F64" s="20">
        <f t="shared" si="9"/>
        <v>5.2873266240705536</v>
      </c>
      <c r="G64" s="23">
        <f t="shared" si="10"/>
        <v>0.39611608120793257</v>
      </c>
    </row>
    <row r="65" spans="1:7" x14ac:dyDescent="0.25">
      <c r="A65">
        <v>8</v>
      </c>
      <c r="B65" s="22">
        <v>26</v>
      </c>
      <c r="C65" s="21">
        <f t="shared" si="8"/>
        <v>5</v>
      </c>
      <c r="D65" s="20">
        <f t="shared" si="6"/>
        <v>17.618802153517006</v>
      </c>
      <c r="E65" s="20">
        <f t="shared" si="7"/>
        <v>2.0943951023931953</v>
      </c>
      <c r="F65" s="20">
        <f t="shared" si="9"/>
        <v>5.6006979552841294</v>
      </c>
      <c r="G65" s="23">
        <f t="shared" si="10"/>
        <v>0.37395251790309131</v>
      </c>
    </row>
    <row r="66" spans="1:7" x14ac:dyDescent="0.25">
      <c r="A66">
        <v>8</v>
      </c>
      <c r="B66">
        <v>27</v>
      </c>
      <c r="C66" s="21">
        <f t="shared" si="8"/>
        <v>5.5</v>
      </c>
      <c r="D66" s="20">
        <f t="shared" si="6"/>
        <v>18.118802153517006</v>
      </c>
      <c r="E66" s="20">
        <f t="shared" si="7"/>
        <v>2.0943951023931953</v>
      </c>
      <c r="F66" s="20">
        <f t="shared" si="9"/>
        <v>5.9230903844537899</v>
      </c>
      <c r="G66" s="23">
        <f t="shared" si="10"/>
        <v>0.35359836950830764</v>
      </c>
    </row>
    <row r="67" spans="1:7" x14ac:dyDescent="0.25">
      <c r="A67">
        <v>8</v>
      </c>
      <c r="B67" s="22">
        <v>28</v>
      </c>
      <c r="C67" s="21">
        <f t="shared" si="8"/>
        <v>6</v>
      </c>
      <c r="D67" s="20">
        <f t="shared" si="6"/>
        <v>18.618802153517006</v>
      </c>
      <c r="E67" s="20">
        <f t="shared" si="7"/>
        <v>2.0943951023931953</v>
      </c>
      <c r="F67" s="20">
        <f t="shared" si="9"/>
        <v>6.2545039115795422</v>
      </c>
      <c r="G67" s="23">
        <f t="shared" si="10"/>
        <v>0.33486190623618406</v>
      </c>
    </row>
    <row r="68" spans="1:7" x14ac:dyDescent="0.25">
      <c r="A68">
        <v>8</v>
      </c>
      <c r="B68">
        <v>29</v>
      </c>
      <c r="C68" s="21">
        <f t="shared" si="8"/>
        <v>6.5</v>
      </c>
      <c r="D68" s="20">
        <f t="shared" si="6"/>
        <v>19.118802153517006</v>
      </c>
      <c r="E68" s="20">
        <f t="shared" si="7"/>
        <v>2.0943951023931953</v>
      </c>
      <c r="F68" s="20">
        <f t="shared" si="9"/>
        <v>6.5949385366613811</v>
      </c>
      <c r="G68" s="23">
        <f t="shared" si="10"/>
        <v>0.3175761367221871</v>
      </c>
    </row>
    <row r="69" spans="1:7" x14ac:dyDescent="0.25">
      <c r="A69">
        <v>8</v>
      </c>
      <c r="B69" s="22">
        <v>30</v>
      </c>
      <c r="C69" s="21">
        <f t="shared" si="8"/>
        <v>7</v>
      </c>
      <c r="D69" s="20">
        <f t="shared" si="6"/>
        <v>19.618802153517006</v>
      </c>
      <c r="E69" s="20">
        <f t="shared" si="7"/>
        <v>2.0943951023931953</v>
      </c>
      <c r="F69" s="20">
        <f t="shared" si="9"/>
        <v>6.9443942596993065</v>
      </c>
      <c r="G69" s="23">
        <f t="shared" si="10"/>
        <v>0.30159507425257892</v>
      </c>
    </row>
    <row r="70" spans="1:7" x14ac:dyDescent="0.25">
      <c r="A70">
        <v>8</v>
      </c>
      <c r="B70">
        <v>31</v>
      </c>
      <c r="C70" s="21">
        <f t="shared" si="8"/>
        <v>7.5</v>
      </c>
      <c r="D70" s="20">
        <f t="shared" si="6"/>
        <v>20.118802153517006</v>
      </c>
      <c r="E70" s="20">
        <f t="shared" si="7"/>
        <v>2.0943951023931953</v>
      </c>
      <c r="F70" s="20">
        <f t="shared" si="9"/>
        <v>7.302871080693321</v>
      </c>
      <c r="G70" s="23">
        <f t="shared" si="10"/>
        <v>0.28679064428922624</v>
      </c>
    </row>
    <row r="71" spans="1:7" x14ac:dyDescent="0.25">
      <c r="A71">
        <v>8</v>
      </c>
      <c r="B71" s="22">
        <v>32</v>
      </c>
      <c r="C71" s="21">
        <f t="shared" si="8"/>
        <v>8</v>
      </c>
      <c r="D71" s="20">
        <f t="shared" si="6"/>
        <v>20.618802153517006</v>
      </c>
      <c r="E71" s="20">
        <f t="shared" si="7"/>
        <v>2.0943951023931953</v>
      </c>
      <c r="F71" s="20">
        <f t="shared" si="9"/>
        <v>7.6703689996434239</v>
      </c>
      <c r="G71" s="23">
        <f t="shared" si="10"/>
        <v>0.27305011043022293</v>
      </c>
    </row>
    <row r="72" spans="1:7" x14ac:dyDescent="0.25">
      <c r="A72">
        <v>10</v>
      </c>
      <c r="B72" s="22">
        <v>20</v>
      </c>
      <c r="C72" s="21">
        <f t="shared" si="8"/>
        <v>0</v>
      </c>
      <c r="D72" s="20">
        <f t="shared" si="6"/>
        <v>15.773502691896258</v>
      </c>
      <c r="E72" s="20">
        <f t="shared" si="7"/>
        <v>3.2724923474893681</v>
      </c>
      <c r="F72" s="20">
        <f t="shared" si="9"/>
        <v>4.488959454956774</v>
      </c>
      <c r="G72" s="23">
        <f t="shared" si="10"/>
        <v>0.72900911231796373</v>
      </c>
    </row>
    <row r="73" spans="1:7" x14ac:dyDescent="0.25">
      <c r="A73">
        <v>10</v>
      </c>
      <c r="B73">
        <v>21</v>
      </c>
      <c r="C73" s="21">
        <f t="shared" si="8"/>
        <v>0.5</v>
      </c>
      <c r="D73" s="20">
        <f t="shared" si="6"/>
        <v>16.273502691896258</v>
      </c>
      <c r="E73" s="20">
        <f t="shared" si="7"/>
        <v>3.2724923474893681</v>
      </c>
      <c r="F73" s="20">
        <f t="shared" si="9"/>
        <v>4.778058629723243</v>
      </c>
      <c r="G73" s="23">
        <f t="shared" si="10"/>
        <v>0.68489999832398851</v>
      </c>
    </row>
    <row r="74" spans="1:7" x14ac:dyDescent="0.25">
      <c r="A74">
        <v>10</v>
      </c>
      <c r="B74">
        <v>22</v>
      </c>
      <c r="C74" s="21">
        <f t="shared" si="8"/>
        <v>1</v>
      </c>
      <c r="D74" s="20">
        <f t="shared" si="6"/>
        <v>16.773502691896258</v>
      </c>
      <c r="E74" s="20">
        <f t="shared" si="7"/>
        <v>3.2724923474893681</v>
      </c>
      <c r="F74" s="20">
        <f t="shared" si="9"/>
        <v>5.0761789024458004</v>
      </c>
      <c r="G74" s="23">
        <f t="shared" si="10"/>
        <v>0.64467632256077867</v>
      </c>
    </row>
    <row r="75" spans="1:7" x14ac:dyDescent="0.25">
      <c r="A75">
        <v>10</v>
      </c>
      <c r="B75">
        <v>23</v>
      </c>
      <c r="C75" s="21">
        <f t="shared" si="8"/>
        <v>1.5</v>
      </c>
      <c r="D75" s="20">
        <f t="shared" si="6"/>
        <v>17.273502691896258</v>
      </c>
      <c r="E75" s="20">
        <f t="shared" si="7"/>
        <v>3.2724923474893681</v>
      </c>
      <c r="F75" s="20">
        <f t="shared" si="9"/>
        <v>5.3833202731244443</v>
      </c>
      <c r="G75" s="23">
        <f t="shared" si="10"/>
        <v>0.60789479010321534</v>
      </c>
    </row>
    <row r="76" spans="1:7" x14ac:dyDescent="0.25">
      <c r="A76">
        <v>10</v>
      </c>
      <c r="B76">
        <v>24</v>
      </c>
      <c r="C76" s="21">
        <f t="shared" si="8"/>
        <v>2</v>
      </c>
      <c r="D76" s="20">
        <f t="shared" si="6"/>
        <v>17.773502691896258</v>
      </c>
      <c r="E76" s="20">
        <f t="shared" si="7"/>
        <v>3.2724923474893681</v>
      </c>
      <c r="F76" s="20">
        <f t="shared" si="9"/>
        <v>5.6994827417591765</v>
      </c>
      <c r="G76" s="23">
        <f t="shared" si="10"/>
        <v>0.57417356903502015</v>
      </c>
    </row>
    <row r="77" spans="1:7" x14ac:dyDescent="0.25">
      <c r="A77">
        <v>10</v>
      </c>
      <c r="B77">
        <v>25</v>
      </c>
      <c r="C77" s="21">
        <f t="shared" si="8"/>
        <v>2.5</v>
      </c>
      <c r="D77" s="20">
        <f t="shared" si="6"/>
        <v>18.273502691896258</v>
      </c>
      <c r="E77" s="20">
        <f t="shared" si="7"/>
        <v>3.2724923474893681</v>
      </c>
      <c r="F77" s="20">
        <f t="shared" si="9"/>
        <v>6.0246663083499978</v>
      </c>
      <c r="G77" s="23">
        <f t="shared" si="10"/>
        <v>0.54318234073043958</v>
      </c>
    </row>
    <row r="78" spans="1:7" x14ac:dyDescent="0.25">
      <c r="A78">
        <v>10</v>
      </c>
      <c r="B78">
        <v>26</v>
      </c>
      <c r="C78" s="21">
        <f t="shared" si="8"/>
        <v>3</v>
      </c>
      <c r="D78" s="20">
        <f t="shared" si="6"/>
        <v>18.773502691896258</v>
      </c>
      <c r="E78" s="20">
        <f t="shared" si="7"/>
        <v>3.2724923474893681</v>
      </c>
      <c r="F78" s="20">
        <f t="shared" si="9"/>
        <v>6.3588709728969048</v>
      </c>
      <c r="G78" s="23">
        <f t="shared" si="10"/>
        <v>0.51463417978404458</v>
      </c>
    </row>
    <row r="79" spans="1:7" x14ac:dyDescent="0.25">
      <c r="A79">
        <v>10</v>
      </c>
      <c r="B79">
        <v>27</v>
      </c>
      <c r="C79" s="21">
        <f t="shared" si="8"/>
        <v>3.5</v>
      </c>
      <c r="D79" s="20">
        <f t="shared" si="6"/>
        <v>19.273502691896258</v>
      </c>
      <c r="E79" s="20">
        <f t="shared" si="7"/>
        <v>3.2724923474893681</v>
      </c>
      <c r="F79" s="20">
        <f t="shared" si="9"/>
        <v>6.7020967353999019</v>
      </c>
      <c r="G79" s="23">
        <f t="shared" si="10"/>
        <v>0.48827888893401722</v>
      </c>
    </row>
    <row r="80" spans="1:7" x14ac:dyDescent="0.25">
      <c r="A80">
        <v>10</v>
      </c>
      <c r="B80">
        <v>28</v>
      </c>
      <c r="C80" s="21">
        <f t="shared" si="8"/>
        <v>4</v>
      </c>
      <c r="D80" s="20">
        <f t="shared" ref="D80:D92" si="11">((B80/2) + ((A80)/2)/COS(RADIANS(30)))</f>
        <v>19.773502691896258</v>
      </c>
      <c r="E80" s="20">
        <f t="shared" ref="E80:E92" si="12">(PI()*(A80/(2*12))^2)*6</f>
        <v>3.2724923474893681</v>
      </c>
      <c r="F80" s="20">
        <f t="shared" si="9"/>
        <v>7.0543435958589855</v>
      </c>
      <c r="G80" s="23">
        <f t="shared" si="10"/>
        <v>0.46389749847319239</v>
      </c>
    </row>
    <row r="81" spans="1:7" x14ac:dyDescent="0.25">
      <c r="A81">
        <v>10</v>
      </c>
      <c r="B81">
        <v>29</v>
      </c>
      <c r="C81" s="21">
        <f t="shared" si="8"/>
        <v>4.5</v>
      </c>
      <c r="D81" s="20">
        <f t="shared" si="11"/>
        <v>20.273502691896258</v>
      </c>
      <c r="E81" s="20">
        <f t="shared" si="12"/>
        <v>3.2724923474893681</v>
      </c>
      <c r="F81" s="20">
        <f t="shared" si="9"/>
        <v>7.4156115542741565</v>
      </c>
      <c r="G81" s="23">
        <f t="shared" si="10"/>
        <v>0.44129770330313389</v>
      </c>
    </row>
    <row r="82" spans="1:7" x14ac:dyDescent="0.25">
      <c r="A82">
        <v>10</v>
      </c>
      <c r="B82">
        <v>30</v>
      </c>
      <c r="C82" s="21">
        <f t="shared" si="8"/>
        <v>5</v>
      </c>
      <c r="D82" s="20">
        <f t="shared" si="11"/>
        <v>20.773502691896258</v>
      </c>
      <c r="E82" s="20">
        <f t="shared" si="12"/>
        <v>3.2724923474893681</v>
      </c>
      <c r="F82" s="20">
        <f t="shared" si="9"/>
        <v>7.7859006106454167</v>
      </c>
      <c r="G82" s="23">
        <f t="shared" si="10"/>
        <v>0.4203100593160658</v>
      </c>
    </row>
    <row r="83" spans="1:7" x14ac:dyDescent="0.25">
      <c r="A83">
        <v>10</v>
      </c>
      <c r="B83">
        <v>31</v>
      </c>
      <c r="C83" s="21">
        <f t="shared" si="8"/>
        <v>5.5</v>
      </c>
      <c r="D83" s="20">
        <f t="shared" si="11"/>
        <v>21.273502691896258</v>
      </c>
      <c r="E83" s="20">
        <f t="shared" si="12"/>
        <v>3.2724923474893681</v>
      </c>
      <c r="F83" s="20">
        <f t="shared" si="9"/>
        <v>8.1652107649727643</v>
      </c>
      <c r="G83" s="23">
        <f t="shared" si="10"/>
        <v>0.40078479805172351</v>
      </c>
    </row>
    <row r="84" spans="1:7" x14ac:dyDescent="0.25">
      <c r="A84">
        <v>10</v>
      </c>
      <c r="B84">
        <v>32</v>
      </c>
      <c r="C84" s="21">
        <f t="shared" si="8"/>
        <v>6</v>
      </c>
      <c r="D84" s="20">
        <f t="shared" si="11"/>
        <v>21.773502691896258</v>
      </c>
      <c r="E84" s="20">
        <f t="shared" si="12"/>
        <v>3.2724923474893681</v>
      </c>
      <c r="F84" s="20">
        <f t="shared" si="9"/>
        <v>8.5535420172561984</v>
      </c>
      <c r="G84" s="23">
        <f t="shared" si="10"/>
        <v>0.38258914738331018</v>
      </c>
    </row>
    <row r="85" spans="1:7" x14ac:dyDescent="0.25">
      <c r="A85">
        <v>10</v>
      </c>
      <c r="B85">
        <v>33</v>
      </c>
      <c r="C85" s="21">
        <f t="shared" si="8"/>
        <v>6.5</v>
      </c>
      <c r="D85" s="20">
        <f t="shared" si="11"/>
        <v>22.273502691896258</v>
      </c>
      <c r="E85" s="20">
        <f t="shared" si="12"/>
        <v>3.2724923474893681</v>
      </c>
      <c r="F85" s="20">
        <f t="shared" si="9"/>
        <v>8.9508943674957244</v>
      </c>
      <c r="G85" s="23">
        <f t="shared" si="10"/>
        <v>0.3656050684022254</v>
      </c>
    </row>
    <row r="86" spans="1:7" x14ac:dyDescent="0.25">
      <c r="A86">
        <v>10</v>
      </c>
      <c r="B86">
        <v>34</v>
      </c>
      <c r="C86" s="21">
        <f t="shared" si="8"/>
        <v>7</v>
      </c>
      <c r="D86" s="20">
        <f t="shared" si="11"/>
        <v>22.773502691896258</v>
      </c>
      <c r="E86" s="20">
        <f t="shared" si="12"/>
        <v>3.2724923474893681</v>
      </c>
      <c r="F86" s="20">
        <f t="shared" si="9"/>
        <v>9.3572678156913351</v>
      </c>
      <c r="G86" s="23">
        <f t="shared" si="10"/>
        <v>0.34972733622112206</v>
      </c>
    </row>
    <row r="87" spans="1:7" x14ac:dyDescent="0.25">
      <c r="A87">
        <v>10</v>
      </c>
      <c r="B87">
        <v>35</v>
      </c>
      <c r="C87" s="21">
        <f t="shared" si="8"/>
        <v>7.5</v>
      </c>
      <c r="D87" s="20">
        <f t="shared" si="11"/>
        <v>23.273502691896258</v>
      </c>
      <c r="E87" s="20">
        <f t="shared" si="12"/>
        <v>3.2724923474893681</v>
      </c>
      <c r="F87" s="20">
        <f t="shared" si="9"/>
        <v>9.7726623618430342</v>
      </c>
      <c r="G87" s="23">
        <f t="shared" si="10"/>
        <v>0.33486190623618417</v>
      </c>
    </row>
    <row r="88" spans="1:7" x14ac:dyDescent="0.25">
      <c r="A88">
        <v>10</v>
      </c>
      <c r="B88">
        <v>36</v>
      </c>
      <c r="C88" s="21">
        <f t="shared" si="8"/>
        <v>8</v>
      </c>
      <c r="D88" s="20">
        <f t="shared" si="11"/>
        <v>23.773502691896258</v>
      </c>
      <c r="E88" s="20">
        <f t="shared" si="12"/>
        <v>3.2724923474893681</v>
      </c>
      <c r="F88" s="20">
        <f t="shared" si="9"/>
        <v>10.197078005950821</v>
      </c>
      <c r="G88" s="23">
        <f t="shared" si="10"/>
        <v>0.32092451833550784</v>
      </c>
    </row>
    <row r="89" spans="1:7" x14ac:dyDescent="0.25">
      <c r="A89">
        <v>10</v>
      </c>
      <c r="B89">
        <v>37</v>
      </c>
      <c r="C89" s="21">
        <f t="shared" si="8"/>
        <v>8.5</v>
      </c>
      <c r="D89" s="20">
        <f t="shared" si="11"/>
        <v>24.273502691896258</v>
      </c>
      <c r="E89" s="20">
        <f t="shared" si="12"/>
        <v>3.2724923474893681</v>
      </c>
      <c r="F89" s="20">
        <f t="shared" si="9"/>
        <v>10.630514748014695</v>
      </c>
      <c r="G89" s="23">
        <f t="shared" si="10"/>
        <v>0.30783950025566947</v>
      </c>
    </row>
    <row r="90" spans="1:7" x14ac:dyDescent="0.25">
      <c r="A90">
        <v>10</v>
      </c>
      <c r="B90">
        <v>38</v>
      </c>
      <c r="C90" s="21">
        <f t="shared" si="8"/>
        <v>9</v>
      </c>
      <c r="D90" s="20">
        <f t="shared" si="11"/>
        <v>24.773502691896258</v>
      </c>
      <c r="E90" s="20">
        <f t="shared" si="12"/>
        <v>3.2724923474893681</v>
      </c>
      <c r="F90" s="20">
        <f t="shared" si="9"/>
        <v>11.072972588034661</v>
      </c>
      <c r="G90" s="23">
        <f t="shared" si="10"/>
        <v>0.29553873826307392</v>
      </c>
    </row>
    <row r="91" spans="1:7" x14ac:dyDescent="0.25">
      <c r="A91">
        <v>10</v>
      </c>
      <c r="B91">
        <v>39</v>
      </c>
      <c r="C91" s="21">
        <f t="shared" si="8"/>
        <v>9.5</v>
      </c>
      <c r="D91" s="20">
        <f t="shared" si="11"/>
        <v>25.273502691896258</v>
      </c>
      <c r="E91" s="20">
        <f t="shared" si="12"/>
        <v>3.2724923474893681</v>
      </c>
      <c r="F91" s="20">
        <f t="shared" si="9"/>
        <v>11.52445152601071</v>
      </c>
      <c r="G91" s="23">
        <f t="shared" si="10"/>
        <v>0.2839607889454302</v>
      </c>
    </row>
    <row r="92" spans="1:7" x14ac:dyDescent="0.25">
      <c r="A92">
        <v>10</v>
      </c>
      <c r="B92">
        <v>40</v>
      </c>
      <c r="C92" s="21">
        <f t="shared" si="8"/>
        <v>10</v>
      </c>
      <c r="D92" s="20">
        <f t="shared" si="11"/>
        <v>25.773502691896258</v>
      </c>
      <c r="E92" s="20">
        <f t="shared" si="12"/>
        <v>3.2724923474893681</v>
      </c>
      <c r="F92" s="20">
        <f t="shared" si="9"/>
        <v>11.984951561942847</v>
      </c>
      <c r="G92" s="23">
        <f t="shared" si="10"/>
        <v>0.27305011043022304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Scorecard</vt:lpstr>
      <vt:lpstr>Summary of Scores</vt:lpstr>
      <vt:lpstr>Motors</vt:lpstr>
      <vt:lpstr>ESC</vt:lpstr>
      <vt:lpstr>BOM Calculator</vt:lpstr>
      <vt:lpstr>Custom QRM</vt:lpstr>
      <vt:lpstr>Prop Clearance</vt:lpstr>
    </vt:vector>
  </TitlesOfParts>
  <Company>Bracketron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Koop</dc:creator>
  <cp:lastModifiedBy>Tony</cp:lastModifiedBy>
  <cp:lastPrinted>2013-08-04T21:11:26Z</cp:lastPrinted>
  <dcterms:created xsi:type="dcterms:W3CDTF">2013-06-13T13:47:52Z</dcterms:created>
  <dcterms:modified xsi:type="dcterms:W3CDTF">2014-03-31T03:02:00Z</dcterms:modified>
</cp:coreProperties>
</file>