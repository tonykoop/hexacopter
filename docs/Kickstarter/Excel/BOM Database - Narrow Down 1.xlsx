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3515"/>
  <workbookPr autoCompressPictures="0"/>
  <bookViews>
    <workbookView xWindow="40" yWindow="0" windowWidth="8000" windowHeight="4100" tabRatio="880"/>
  </bookViews>
  <sheets>
    <sheet name="BOM Summary" sheetId="10" r:id="rId1"/>
    <sheet name="1. Multirotor Frames" sheetId="6" r:id="rId2"/>
    <sheet name="2. Flight Controllers" sheetId="7" r:id="rId3"/>
    <sheet name="3. Transmitters" sheetId="15" r:id="rId4"/>
    <sheet name="4. Receivers" sheetId="11" r:id="rId5"/>
    <sheet name="5. Cameras" sheetId="18" r:id="rId6"/>
    <sheet name="6. Gimbals" sheetId="13" r:id="rId7"/>
    <sheet name="7. Motors" sheetId="3" r:id="rId8"/>
    <sheet name="8. ESCs" sheetId="16" r:id="rId9"/>
    <sheet name="9. Batteries" sheetId="8" r:id="rId10"/>
    <sheet name="10. Propellers" sheetId="14" r:id="rId11"/>
    <sheet name="11. Accessories" sheetId="17" r:id="rId12"/>
    <sheet name="Scorecard" sheetId="1" r:id="rId13"/>
  </sheets>
  <definedNames>
    <definedName name="_xlnm._FilterDatabase" localSheetId="0" hidden="1">'BOM Summary'!$A$2:$J$14</definedName>
    <definedName name="Acc_Brand">'11. Accessories'!$B$3:$B$4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Batteries'!$B$3:$B$19</definedName>
    <definedName name="Bat_Mass">'9. Batteries'!$L$3:$L$19</definedName>
    <definedName name="Bat_Model">'9. Batteries'!$C$3:$C$19</definedName>
    <definedName name="Bat_Price">'9. Batteries'!$M$3:$M$19</definedName>
    <definedName name="Cam_Brand">#REF!</definedName>
    <definedName name="Cam_Mass">#REF!</definedName>
    <definedName name="Cam_Model">#REF!</definedName>
    <definedName name="Cam_Price">#REF!</definedName>
    <definedName name="Camera_Brand">'5. Cameras'!$B$3:$B$9</definedName>
    <definedName name="Camera_Model">'5. Cameras'!$C$3:$C$9</definedName>
    <definedName name="Camera_Price">'5. Cameras'!$J$3:$J$9</definedName>
    <definedName name="ESC_Brand">'8. ESCs'!$B$3:$B$25</definedName>
    <definedName name="ESC_Mass">'8. ESCs'!$H$3:$H$25</definedName>
    <definedName name="ESC_Model">'8. ESCs'!$E$3:$E$25</definedName>
    <definedName name="ESC_Model2">'8. ESCs'!$C$3:$C$25</definedName>
    <definedName name="ESC_Price">'8. ESCs'!$I$3:$I$25</definedName>
    <definedName name="FC_Brand">'2. Flight Controllers'!$B$3:$B$9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Frames'!$B$3:$B$23</definedName>
    <definedName name="Frame_Line">'1. Multirotor Frames'!$C$3:$C$23</definedName>
    <definedName name="Frame_Mass">'1. Multirotor Frames'!$F$3:$F$23</definedName>
    <definedName name="Frame_Model">'1. Multirotor Frames'!$D$3:$D$23</definedName>
    <definedName name="Frame_Price">'1. Multirotor Frames'!$P$3:$P$23</definedName>
    <definedName name="Framemass">'1. Multirotor Frames'!$F$3:$F$23</definedName>
    <definedName name="Gimbal_Brand">'6. Gimbals'!$H$5</definedName>
    <definedName name="Gimbal_Brand2">'6. Gimbals'!$B$3:$B$10</definedName>
    <definedName name="Gimbal_Mass">'6. Gimbals'!$G$3:$G$10</definedName>
    <definedName name="Gimbal_Model">'6. Gimbals'!$C$3:$C$10</definedName>
    <definedName name="Gimbal_Price">'6. Gimbals'!$H$3:$H$10</definedName>
    <definedName name="Motor_Brand">'7. Motors'!$B$2:$B$49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Frames'!$E$3:$E$23</definedName>
    <definedName name="Prop_Brand">'10. Propellers'!$B$3:$B$30</definedName>
    <definedName name="Prop_Mass">'10. Propellers'!$I$3:$I$30</definedName>
    <definedName name="Prop_Model">'10. Propellers'!$D$3:$D$30</definedName>
    <definedName name="Prop_Price">'10. Propellers'!$K$3:$K$30</definedName>
    <definedName name="RC_Brand">'4. Receivers'!$B$3:$B$12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Mass">'3. Transmitters'!#REF!</definedName>
    <definedName name="Tx_Model">'3. Transmitters'!$C$3:$C$17</definedName>
    <definedName name="Tx_Price">'3. Transmitters'!$K$3:$K$17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3" l="1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F44" i="10"/>
  <c r="E44" i="10"/>
  <c r="E45" i="10"/>
  <c r="P26" i="6"/>
  <c r="P25" i="6"/>
  <c r="P24" i="6"/>
  <c r="D44" i="10"/>
  <c r="S5" i="17"/>
  <c r="R4" i="17"/>
  <c r="M21" i="8"/>
  <c r="M22" i="8"/>
  <c r="E20" i="8"/>
  <c r="F20" i="8"/>
  <c r="G20" i="8"/>
  <c r="H20" i="8"/>
  <c r="I20" i="8"/>
  <c r="J20" i="8"/>
  <c r="K20" i="8"/>
  <c r="L20" i="8"/>
  <c r="E21" i="8"/>
  <c r="F21" i="8"/>
  <c r="G21" i="8"/>
  <c r="H21" i="8"/>
  <c r="I21" i="8"/>
  <c r="J21" i="8"/>
  <c r="K21" i="8"/>
  <c r="L21" i="8"/>
  <c r="E22" i="8"/>
  <c r="F22" i="8"/>
  <c r="G22" i="8"/>
  <c r="H22" i="8"/>
  <c r="I22" i="8"/>
  <c r="J22" i="8"/>
  <c r="K22" i="8"/>
  <c r="L22" i="8"/>
  <c r="D22" i="8"/>
  <c r="D21" i="8"/>
  <c r="D20" i="8"/>
  <c r="G12" i="10"/>
  <c r="F9" i="10"/>
  <c r="H12" i="10"/>
  <c r="I11" i="10"/>
  <c r="J11" i="10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F10" i="10"/>
  <c r="J10" i="10"/>
  <c r="I12" i="10"/>
  <c r="J12" i="10"/>
  <c r="R3" i="17"/>
  <c r="I13" i="10"/>
  <c r="J13" i="10"/>
  <c r="J14" i="10"/>
  <c r="J15" i="10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25" i="10"/>
  <c r="D22" i="10"/>
  <c r="D12" i="18"/>
  <c r="I12" i="18"/>
  <c r="J12" i="18"/>
  <c r="I10" i="18"/>
  <c r="J10" i="18"/>
  <c r="I11" i="18"/>
  <c r="J11" i="18"/>
  <c r="D10" i="18"/>
  <c r="D11" i="18"/>
  <c r="S50" i="3"/>
  <c r="H11" i="13"/>
  <c r="H12" i="13"/>
  <c r="H13" i="13"/>
  <c r="G11" i="13"/>
  <c r="G12" i="13"/>
  <c r="G13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19" i="10"/>
  <c r="D21" i="10"/>
  <c r="D20" i="10"/>
  <c r="D18" i="10"/>
  <c r="D23" i="10"/>
  <c r="D24" i="10"/>
  <c r="D26" i="10"/>
  <c r="D27" i="10"/>
  <c r="D29" i="10"/>
  <c r="I11" i="13"/>
  <c r="L25" i="6"/>
  <c r="L26" i="6"/>
  <c r="L2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4" i="6"/>
  <c r="H26" i="6"/>
  <c r="G26" i="6"/>
  <c r="F26" i="6"/>
  <c r="F24" i="6"/>
  <c r="F25" i="6"/>
  <c r="D8" i="10"/>
  <c r="D13" i="10"/>
  <c r="D12" i="10"/>
  <c r="D11" i="10"/>
  <c r="D10" i="10"/>
  <c r="D9" i="10"/>
  <c r="D6" i="10"/>
  <c r="D5" i="10"/>
  <c r="D4" i="10"/>
  <c r="D3" i="10"/>
  <c r="F14" i="10"/>
  <c r="G25" i="6"/>
  <c r="G24" i="6"/>
  <c r="D33" i="17"/>
  <c r="V6" i="1"/>
  <c r="L18" i="15"/>
  <c r="I1" i="10"/>
  <c r="M20" i="8"/>
  <c r="Q24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<sst xmlns="http://schemas.openxmlformats.org/spreadsheetml/2006/main" count="1432" uniqueCount="567">
  <si>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</si>
  <si>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</si>
  <si>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</si>
  <si>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</si>
  <si>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</si>
  <si>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</si>
  <si>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</si>
  <si>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</si>
  <si>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</si>
  <si>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</si>
  <si>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</si>
  <si>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</si>
  <si>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</si>
  <si>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</si>
  <si>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</si>
  <si>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</si>
  <si>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</si>
  <si>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</si>
  <si>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</si>
  <si>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</si>
  <si>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</si>
  <si>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</si>
  <si>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</si>
  <si>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</si>
  <si>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</si>
  <si>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</si>
  <si>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</si>
  <si>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</si>
  <si>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</si>
  <si>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</si>
  <si>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</si>
  <si>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</si>
  <si>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</si>
  <si>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</si>
  <si>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</si>
  <si>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</si>
  <si>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</si>
  <si>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</si>
  <si>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</si>
  <si>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</si>
  <si>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</si>
  <si>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</si>
  <si>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</si>
  <si>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</si>
  <si>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</si>
  <si>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</si>
  <si>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</si>
  <si>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</si>
  <si>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</si>
  <si>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</si>
  <si>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</si>
  <si>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</si>
  <si>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</si>
  <si>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</si>
  <si>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</si>
  <si>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</si>
  <si>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</si>
  <si>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</si>
  <si>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</si>
  <si>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</si>
  <si>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</si>
  <si>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</si>
  <si>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</si>
  <si>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</si>
  <si>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</si>
  <si>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</si>
  <si>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</si>
  <si>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</si>
  <si>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</si>
  <si>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</si>
  <si>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</si>
  <si>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</si>
  <si>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</si>
  <si>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</si>
  <si>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</si>
  <si>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</si>
  <si>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</si>
  <si>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</si>
  <si>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</si>
  <si>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</si>
  <si>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</si>
  <si>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</si>
  <si>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</si>
  <si>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</si>
  <si>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</si>
  <si>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</si>
  <si>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</si>
  <si>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</si>
  <si>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</si>
  <si>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</si>
  <si>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</si>
  <si>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</si>
  <si>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</si>
  <si>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</si>
  <si>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</si>
  <si>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</si>
  <si>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</si>
  <si>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</si>
  <si>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</si>
  <si>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</si>
  <si>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</si>
  <si>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</si>
  <si>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</si>
  <si>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</si>
  <si>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</si>
  <si>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</si>
  <si>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</si>
  <si>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</si>
  <si>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</si>
  <si>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</si>
  <si>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</si>
  <si>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</si>
  <si>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</si>
  <si>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</si>
  <si>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</si>
  <si>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</si>
  <si>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</si>
  <si>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</si>
  <si>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</si>
  <si>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</si>
  <si>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</si>
  <si>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</si>
  <si>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</si>
  <si>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</si>
  <si>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</si>
  <si>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</si>
  <si>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</si>
  <si>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</si>
  <si>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</si>
  <si>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</si>
  <si>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</si>
  <si>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</si>
  <si>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</si>
  <si>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</si>
  <si>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# of Parts: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</si>
  <si>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</si>
  <si>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</si>
  <si>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</si>
  <si>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</si>
  <si>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</si>
  <si>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</si>
  <si>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</si>
  <si>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</si>
  <si>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</si>
  <si>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</si>
  <si>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</si>
  <si>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</si>
  <si>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</si>
  <si>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</si>
  <si>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</si>
  <si>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</si>
  <si>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</si>
  <si>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</si>
  <si>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</si>
  <si>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</si>
  <si>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</si>
  <si>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</si>
  <si>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</si>
  <si>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</si>
  <si>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</si>
  <si>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</si>
  <si>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</si>
  <si>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</si>
  <si>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</si>
  <si>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</si>
  <si>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</si>
  <si>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</si>
  <si>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</si>
  <si>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</si>
  <si>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</si>
  <si>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</si>
  <si>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</si>
  <si>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</si>
  <si>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</si>
  <si>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</si>
  <si>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</si>
  <si>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</si>
  <si>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</si>
  <si>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</si>
  <si>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</si>
  <si>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</si>
  <si>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</si>
  <si>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</si>
  <si>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</si>
  <si>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</si>
  <si>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</si>
  <si>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</si>
  <si>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</si>
  <si>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</si>
  <si>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</si>
  <si>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5D Mark III</t>
  </si>
  <si>
    <t>Feiyu Tech</t>
  </si>
  <si>
    <t>FYDosAutopilot</t>
  </si>
  <si>
    <t>FY41AP GPS &amp; OSD</t>
  </si>
  <si>
    <t>http://gopro.com/cameras/hd-hero3-black-edition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</si>
  <si>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</si>
  <si>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</si>
  <si>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</si>
  <si>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</si>
  <si>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</si>
  <si>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</si>
  <si>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</si>
  <si>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</si>
  <si>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</si>
  <si>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</si>
  <si>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</si>
  <si>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</si>
  <si>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</si>
  <si>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</si>
  <si>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http://www.futaba-rc.com/systems/futk8010.html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</si>
  <si>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</si>
  <si>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</si>
  <si>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</si>
  <si>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</si>
  <si>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</si>
  <si>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</si>
  <si>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</si>
  <si>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</si>
  <si>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</si>
  <si>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</si>
  <si>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</si>
  <si>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</si>
  <si>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</si>
  <si>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</si>
  <si>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</si>
  <si>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</si>
  <si>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</si>
  <si>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</si>
  <si>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</si>
  <si>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</si>
  <si>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</si>
  <si>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</si>
  <si>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</si>
  <si>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</si>
  <si>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</si>
  <si>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</si>
  <si>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</si>
  <si>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</si>
  <si>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</si>
  <si>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</si>
  <si>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</si>
  <si>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</si>
  <si>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</si>
  <si>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</si>
  <si>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</si>
  <si>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</si>
  <si>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</si>
  <si>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</si>
  <si>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</si>
  <si>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</si>
  <si>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</si>
  <si>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</si>
  <si>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</si>
  <si>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</si>
  <si>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</si>
  <si>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</si>
  <si>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</si>
  <si>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</si>
  <si>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</si>
  <si>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</si>
  <si>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</si>
  <si>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</si>
  <si>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</si>
  <si>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</si>
  <si>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</si>
  <si>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</si>
  <si>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</si>
  <si>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</si>
  <si>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</si>
  <si>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</si>
  <si>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</si>
  <si>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</si>
  <si>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</si>
  <si>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</si>
  <si>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</si>
  <si>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</si>
  <si>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</si>
  <si>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</si>
  <si>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</si>
  <si>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</si>
  <si>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</si>
  <si>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</si>
  <si>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</si>
  <si>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</si>
  <si>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</si>
  <si>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</si>
  <si>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</si>
  <si>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</si>
  <si>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</si>
  <si>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</si>
  <si>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</si>
  <si>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</si>
  <si>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</si>
  <si>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</si>
  <si>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</si>
  <si>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</si>
  <si>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</si>
  <si>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</si>
  <si>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</si>
  <si>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</si>
  <si>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</si>
  <si>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</si>
  <si>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</si>
  <si>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</si>
  <si>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</si>
  <si>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</si>
  <si>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</si>
  <si>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</si>
  <si>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</si>
  <si>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</si>
  <si>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</si>
  <si>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</si>
  <si>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</si>
  <si>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</si>
  <si>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</si>
  <si>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</si>
  <si>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</si>
  <si>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</si>
  <si>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</si>
  <si>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</si>
  <si>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</si>
  <si>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</si>
  <si>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</si>
  <si>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</si>
  <si>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</si>
  <si>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</si>
  <si>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8FG Super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</si>
  <si>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</si>
  <si>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</si>
  <si>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</si>
  <si>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</si>
  <si>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</si>
  <si>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</si>
  <si>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</si>
  <si>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</si>
  <si>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</si>
  <si>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</si>
  <si>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</si>
  <si>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</si>
  <si>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</si>
  <si>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</si>
  <si>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</si>
  <si>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</si>
  <si>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</si>
  <si>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</si>
  <si>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</si>
  <si>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</si>
  <si>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</si>
  <si>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</si>
  <si>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</si>
  <si>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</si>
  <si>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</si>
  <si>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</si>
  <si>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</si>
  <si>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</si>
  <si>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</si>
  <si>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</si>
  <si>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</si>
  <si>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</si>
  <si>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</si>
  <si>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</si>
  <si>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</si>
  <si>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</si>
  <si>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</si>
  <si>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</si>
  <si>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</si>
  <si>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</si>
  <si>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</si>
  <si>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</si>
  <si>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</si>
  <si>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</si>
  <si>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</si>
  <si>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</si>
  <si>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</si>
  <si>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</si>
  <si>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</si>
  <si>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</si>
  <si>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</si>
  <si>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</si>
  <si>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</si>
  <si>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</si>
  <si>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</si>
  <si>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</si>
  <si>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</si>
  <si>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</si>
  <si>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</si>
  <si>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</si>
  <si>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</si>
  <si>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</si>
  <si>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</si>
  <si>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</si>
  <si>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</si>
  <si>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</si>
  <si>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</si>
  <si>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</si>
  <si>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</si>
  <si>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</si>
  <si>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</si>
  <si>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</si>
  <si>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</si>
  <si>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</si>
  <si>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</si>
  <si>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</si>
  <si>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</si>
  <si>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</si>
  <si>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</si>
  <si>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</si>
  <si>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</si>
  <si>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</si>
  <si>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</si>
  <si>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</si>
  <si>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</si>
  <si>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</si>
  <si>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</si>
  <si>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</si>
  <si>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</si>
  <si>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</si>
  <si>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</si>
  <si>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</si>
  <si>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</si>
  <si>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</si>
  <si>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</si>
  <si>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</si>
  <si>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</si>
  <si>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</si>
  <si>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</si>
  <si>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</si>
  <si>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</si>
  <si>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</si>
  <si>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</si>
  <si>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</si>
  <si>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</si>
  <si>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</si>
  <si>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</si>
  <si>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</si>
  <si>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</si>
  <si>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</si>
  <si>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</si>
  <si>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</si>
  <si>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</si>
  <si>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</si>
  <si>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</si>
  <si>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</si>
  <si>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</si>
  <si>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</si>
  <si>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</si>
  <si>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</si>
  <si>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</si>
  <si>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http://www.hobbyking.com/hobbyking/store/__19154__Turnigy_nano_tech_5000mah_4S_65_130C_Lipo_Pack.html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</si>
  <si>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</si>
  <si>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</si>
  <si>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</si>
  <si>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</si>
  <si>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</si>
  <si>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</si>
  <si>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</si>
  <si>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</si>
  <si>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</si>
  <si>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</si>
  <si>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</si>
  <si>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</si>
  <si>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</si>
  <si>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</si>
  <si>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</si>
  <si>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</si>
  <si>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</si>
  <si>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</si>
  <si>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15x5</t>
  </si>
  <si>
    <t>QTY</t>
  </si>
  <si>
    <t>http://www.rc-drones.com/RcTiger15CF-props.php</t>
  </si>
  <si>
    <t>GemFan</t>
  </si>
  <si>
    <t>Paddle Style</t>
  </si>
  <si>
    <t>15.5x5.5</t>
  </si>
  <si>
    <t>http://www.rc-drones.com/gemfan-paddlestyle-15Prop.php</t>
  </si>
  <si>
    <t>http://www.rc-drones.com/Maytech-MTCP1455T-14prop.php</t>
  </si>
  <si>
    <t>14x5.5</t>
  </si>
  <si>
    <t>MTCP1455T</t>
  </si>
  <si>
    <t>Gemfan</t>
  </si>
  <si>
    <t>15x5.5</t>
  </si>
  <si>
    <t>http://www.rc-drones.com/gemfan-rcd15x5.php</t>
  </si>
  <si>
    <t>Graupner</t>
  </si>
  <si>
    <t>E-Prop</t>
  </si>
  <si>
    <t>14x8</t>
  </si>
  <si>
    <t>http://www.rc-drones.com/Graupner-Eprop-14Left.php</t>
  </si>
  <si>
    <t>Hobby</t>
  </si>
  <si>
    <t>14x7</t>
  </si>
  <si>
    <t>http://www.rc-drones.com/gemfan-137.php</t>
  </si>
  <si>
    <t>DJI S800 Style</t>
  </si>
  <si>
    <t>http://www.rc-drones.com/gemfan-S800-Prop.php</t>
  </si>
  <si>
    <t>Scoop Style</t>
  </si>
  <si>
    <t>15x7.5</t>
  </si>
  <si>
    <t>http://www.rc-drones.com/gemfan-djiscoop-15Prop.php</t>
  </si>
  <si>
    <t>http://www.rc-drones.com/Maytech-MTCP1355T-13prop.php</t>
  </si>
  <si>
    <t>13x5.5</t>
  </si>
  <si>
    <t>MTCP1355T</t>
  </si>
  <si>
    <t>MTCP1155T</t>
  </si>
  <si>
    <t>11x5.5</t>
  </si>
  <si>
    <t>http://www.rc-drones.com/Maytech-MTCP1155T-11prop.php</t>
  </si>
  <si>
    <t>APC</t>
  </si>
  <si>
    <t>APC Prop</t>
  </si>
  <si>
    <t>12x4.5</t>
  </si>
  <si>
    <t>P</t>
  </si>
  <si>
    <t>http://www.rc-drones.com/APC-12x4-5-Left-Propeller.php</t>
  </si>
  <si>
    <t>MTCP1255T</t>
  </si>
  <si>
    <t>12x5.5</t>
  </si>
  <si>
    <t>http://www.rc-drones.com/Maytech-MTCP1255T-12prop.php</t>
  </si>
  <si>
    <t>11x5</t>
  </si>
  <si>
    <t>http://www.rc-drones.com/Graupner-Eprop-11right.php</t>
  </si>
  <si>
    <t>CF Folding Prop</t>
  </si>
  <si>
    <t>http://www.rc-drones.com/gemfamFoldingCW-S800props.php</t>
  </si>
  <si>
    <t>DJI Folding</t>
  </si>
  <si>
    <t>15x5.2</t>
  </si>
  <si>
    <t>http://www.hobby-wing.com/1552-folding-cf-propeller.html</t>
  </si>
  <si>
    <t>http://www.hobby-wing.com/dji-1552-folding-propeller.html</t>
  </si>
  <si>
    <t>High Performance</t>
  </si>
  <si>
    <t>CF Prop</t>
  </si>
  <si>
    <t>http://www.hobby-wing.com/t-motor-1555-cf-propeller.html</t>
  </si>
  <si>
    <t>16x5.5</t>
  </si>
  <si>
    <t>http://www.hobby-wing.com/t-motor-1655-cf-propeller.html</t>
  </si>
  <si>
    <t>HE CF Prop</t>
  </si>
  <si>
    <t>http://www.hobby-wing.com/tarot-1555-propeller-tl2812.html</t>
  </si>
  <si>
    <t>http://www.hobby-wing.com/tarot--tl2828-1255-propeller.html</t>
  </si>
  <si>
    <t>http://www.hobby-wing.com/tarot-1355-propeller-tl2829.html</t>
  </si>
  <si>
    <t>http://www.hobby-wing.com/tarot-1655-propeller-tl2835.html</t>
  </si>
  <si>
    <t>17x5.5</t>
  </si>
  <si>
    <t>http://www.hobby-wing.com/tl2815.html</t>
  </si>
  <si>
    <t>Sigma</t>
  </si>
  <si>
    <t>Multicopter</t>
  </si>
  <si>
    <t>http://www.hobby-wing.com/1550-carbon-fiber-propeller.html</t>
  </si>
  <si>
    <t>http://www.hobby-wing.com/1755-carbon-fiber-propeller.html</t>
  </si>
  <si>
    <t>12x3.8</t>
  </si>
  <si>
    <t>http://www.hobby-wing.com/sigma-1238-carbon-fiber-propeller.html</t>
  </si>
  <si>
    <t>13x4.0</t>
  </si>
  <si>
    <t>http://www.hobby-wing.com/sigma-1340-carbon-fiber-prop.html</t>
  </si>
  <si>
    <t>15x4.0</t>
  </si>
  <si>
    <t>http://www.hobby-wing.com/p1540c-carbon-fiber-propeller.html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</si>
  <si>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</si>
  <si>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</si>
  <si>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</si>
  <si>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</si>
  <si>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</si>
  <si>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</si>
  <si>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</si>
  <si>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</si>
  <si>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</si>
  <si>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</si>
  <si>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</si>
  <si>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</si>
  <si>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</si>
  <si>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</si>
  <si>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</si>
  <si>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</si>
  <si>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% reduction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</si>
  <si>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</si>
  <si>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</si>
  <si>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</si>
  <si>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</si>
  <si>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</si>
  <si>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</si>
  <si>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</si>
  <si>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Selected during:</t>
  </si>
  <si>
    <t>COMPONENT</t>
  </si>
  <si>
    <t>dd</t>
  </si>
  <si>
    <t>remove because M1050 is better</t>
  </si>
  <si>
    <t>Round 3</t>
  </si>
  <si>
    <t>s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</si>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</sst>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</numFmts>
  <fonts count="1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Gill Sans MT"/>
      <family val="2"/>
    </font>
    <font>
      <sz val="10"/>
      <color theme="1"/>
      <name val="Calibri"/>
      <family val="2"/>
      <scheme val="minor"/>
    </font>
    <font>
      <sz val="10"/>
      <color theme="1"/>
      <name val="Gill Sans MT"/>
      <family val="2"/>
    </font>
    <font>
      <sz val="10"/>
      <name val="Gill Sans MT"/>
      <family val="2"/>
    </font>
    <font>
      <sz val="8"/>
      <color theme="0"/>
      <name val="Gill Sans MT"/>
      <family val="2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55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165" fontId="0" fillId="0" borderId="3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3" fillId="0" borderId="3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 readingOrder="1"/>
    </xf>
    <xf numFmtId="0" fontId="3" fillId="0" borderId="3" xfId="1" applyBorder="1" applyAlignment="1">
      <alignment horizontal="left" vertical="center"/>
    </xf>
    <xf numFmtId="166" fontId="0" fillId="0" borderId="3" xfId="0" applyNumberFormat="1" applyBorder="1" applyAlignment="1">
      <alignment horizontal="center"/>
    </xf>
    <xf numFmtId="166" fontId="0" fillId="0" borderId="3" xfId="0" applyNumberFormat="1" applyFont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textRotation="45" readingOrder="1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0" fontId="0" fillId="0" borderId="3" xfId="0" applyFont="1" applyBorder="1" applyAlignment="1">
      <alignment horizontal="left" vertical="center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3" fillId="0" borderId="3" xfId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65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3" fillId="8" borderId="3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readingOrder="1"/>
    </xf>
    <xf numFmtId="1" fontId="0" fillId="0" borderId="3" xfId="0" applyNumberFormat="1" applyFont="1" applyFill="1" applyBorder="1" applyAlignment="1">
      <alignment horizontal="center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textRotation="45" readingOrder="1"/>
    </xf>
    <xf numFmtId="49" fontId="1" fillId="2" borderId="2" xfId="0" applyNumberFormat="1" applyFont="1" applyFill="1" applyBorder="1" applyAlignment="1">
      <alignment textRotation="45" readingOrder="1"/>
    </xf>
    <xf numFmtId="1" fontId="1" fillId="2" borderId="2" xfId="0" applyNumberFormat="1" applyFont="1" applyFill="1" applyBorder="1" applyAlignment="1">
      <alignment textRotation="45" readingOrder="1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2" fontId="0" fillId="0" borderId="0" xfId="0" applyNumberFormat="1" applyFont="1" applyBorder="1" applyAlignment="1">
      <alignment horizontal="right" vertical="center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6" fontId="0" fillId="0" borderId="0" xfId="0" applyNumberFormat="1" applyBorder="1" applyAlignment="1">
      <alignment horizontal="right"/>
    </xf>
    <xf numFmtId="0" fontId="3" fillId="0" borderId="0" xfId="1" applyBorder="1" applyAlignment="1">
      <alignment horizontal="left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0" fontId="3" fillId="0" borderId="3" xfId="1" applyFill="1" applyBorder="1" applyAlignment="1">
      <alignment horizontal="left" vertical="center" readingOrder="1"/>
    </xf>
    <xf numFmtId="49" fontId="0" fillId="0" borderId="3" xfId="0" applyNumberFormat="1" applyFill="1" applyBorder="1" applyAlignment="1">
      <alignment horizontal="center"/>
    </xf>
    <xf numFmtId="0" fontId="3" fillId="0" borderId="3" xfId="1" applyFill="1" applyBorder="1" applyAlignment="1">
      <alignment horizontal="left" readingOrder="1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2" borderId="3" xfId="0" applyFont="1" applyFill="1" applyBorder="1" applyAlignment="1">
      <alignment horizontal="right" vertical="center"/>
    </xf>
    <xf numFmtId="0" fontId="12" fillId="0" borderId="0" xfId="0" applyFont="1"/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167" fontId="14" fillId="0" borderId="3" xfId="0" applyNumberFormat="1" applyFont="1" applyBorder="1" applyAlignment="1">
      <alignment vertical="center"/>
    </xf>
    <xf numFmtId="167" fontId="13" fillId="0" borderId="3" xfId="0" applyNumberFormat="1" applyFont="1" applyBorder="1" applyAlignment="1">
      <alignment vertical="center"/>
    </xf>
    <xf numFmtId="0" fontId="13" fillId="0" borderId="3" xfId="0" applyFont="1" applyFill="1" applyBorder="1" applyAlignment="1">
      <alignment horizontal="right" vertical="center"/>
    </xf>
    <xf numFmtId="167" fontId="14" fillId="0" borderId="3" xfId="0" applyNumberFormat="1" applyFont="1" applyFill="1" applyBorder="1" applyAlignment="1">
      <alignment vertical="center"/>
    </xf>
    <xf numFmtId="167" fontId="13" fillId="0" borderId="3" xfId="0" applyNumberFormat="1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right" vertical="center"/>
    </xf>
    <xf numFmtId="1" fontId="11" fillId="2" borderId="6" xfId="0" applyNumberFormat="1" applyFont="1" applyFill="1" applyBorder="1" applyAlignment="1">
      <alignment horizontal="right" vertical="center"/>
    </xf>
    <xf numFmtId="166" fontId="11" fillId="2" borderId="6" xfId="0" applyNumberFormat="1" applyFont="1" applyFill="1" applyBorder="1" applyAlignment="1">
      <alignment horizontal="right" vertical="center"/>
    </xf>
    <xf numFmtId="167" fontId="11" fillId="2" borderId="6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vertical="center"/>
    </xf>
    <xf numFmtId="166" fontId="11" fillId="2" borderId="3" xfId="0" applyNumberFormat="1" applyFont="1" applyFill="1" applyBorder="1" applyAlignment="1">
      <alignment horizontal="right" vertical="center"/>
    </xf>
    <xf numFmtId="49" fontId="0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44" fontId="0" fillId="0" borderId="3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right" vertical="center"/>
    </xf>
    <xf numFmtId="1" fontId="0" fillId="0" borderId="3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1" fontId="1" fillId="2" borderId="2" xfId="0" applyNumberFormat="1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right" vertical="center" readingOrder="1"/>
    </xf>
    <xf numFmtId="0" fontId="0" fillId="0" borderId="3" xfId="0" applyNumberFormat="1" applyFont="1" applyBorder="1" applyAlignment="1">
      <alignment horizontal="right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15" fillId="2" borderId="6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165" fontId="0" fillId="8" borderId="3" xfId="0" applyNumberFormat="1" applyFont="1" applyFill="1" applyBorder="1" applyAlignment="1">
      <alignment horizontal="left" vertical="center"/>
    </xf>
    <xf numFmtId="0" fontId="0" fillId="8" borderId="3" xfId="0" applyFill="1" applyBorder="1" applyAlignment="1">
      <alignment horizontal="left"/>
    </xf>
    <xf numFmtId="165" fontId="0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49" fontId="0" fillId="8" borderId="3" xfId="0" applyNumberFormat="1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 readingOrder="1"/>
    </xf>
    <xf numFmtId="0" fontId="0" fillId="8" borderId="3" xfId="0" applyFont="1" applyFill="1" applyBorder="1" applyAlignment="1">
      <alignment horizontal="right" vertical="center"/>
    </xf>
    <xf numFmtId="165" fontId="0" fillId="8" borderId="3" xfId="0" applyNumberFormat="1" applyFill="1" applyBorder="1" applyAlignment="1">
      <alignment horizontal="right"/>
    </xf>
    <xf numFmtId="1" fontId="0" fillId="0" borderId="3" xfId="0" applyNumberFormat="1" applyFont="1" applyBorder="1" applyAlignment="1">
      <alignment horizontal="right" vertical="center" readingOrder="1"/>
    </xf>
    <xf numFmtId="165" fontId="0" fillId="0" borderId="3" xfId="0" applyNumberFormat="1" applyBorder="1" applyAlignment="1">
      <alignment horizontal="right"/>
    </xf>
    <xf numFmtId="165" fontId="1" fillId="2" borderId="2" xfId="0" applyNumberFormat="1" applyFont="1" applyFill="1" applyBorder="1" applyAlignment="1">
      <alignment horizontal="right" textRotation="45" readingOrder="1"/>
    </xf>
    <xf numFmtId="1" fontId="0" fillId="8" borderId="3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6" borderId="3" xfId="0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44" fontId="0" fillId="3" borderId="3" xfId="0" applyNumberFormat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left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49" fontId="16" fillId="6" borderId="0" xfId="0" applyNumberFormat="1" applyFont="1" applyFill="1" applyBorder="1" applyAlignment="1">
      <alignment horizontal="right" vertical="center"/>
    </xf>
    <xf numFmtId="49" fontId="0" fillId="6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8" fontId="15" fillId="2" borderId="6" xfId="10" applyNumberFormat="1" applyFont="1" applyFill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8" fontId="11" fillId="2" borderId="3" xfId="0" applyNumberFormat="1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left" vertical="center" wrapText="1"/>
    </xf>
    <xf numFmtId="165" fontId="12" fillId="0" borderId="0" xfId="0" applyNumberFormat="1" applyFont="1" applyAlignment="1">
      <alignment horizontal="right" vertical="center"/>
    </xf>
    <xf numFmtId="43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8" fontId="12" fillId="0" borderId="0" xfId="10" applyNumberFormat="1" applyFont="1" applyAlignment="1">
      <alignment horizontal="right" vertical="center"/>
    </xf>
    <xf numFmtId="0" fontId="13" fillId="3" borderId="3" xfId="0" applyFont="1" applyFill="1" applyBorder="1" applyAlignment="1">
      <alignment vertical="center"/>
    </xf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vertical="center"/>
    </xf>
    <xf numFmtId="0" fontId="13" fillId="10" borderId="3" xfId="0" applyFont="1" applyFill="1" applyBorder="1" applyAlignment="1">
      <alignment horizontal="right" vertical="center"/>
    </xf>
    <xf numFmtId="0" fontId="13" fillId="11" borderId="3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vertical="center"/>
    </xf>
    <xf numFmtId="0" fontId="13" fillId="10" borderId="6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right" vertical="center"/>
    </xf>
    <xf numFmtId="168" fontId="13" fillId="10" borderId="3" xfId="0" applyNumberFormat="1" applyFont="1" applyFill="1" applyBorder="1" applyAlignment="1">
      <alignment horizontal="right" vertical="center"/>
    </xf>
    <xf numFmtId="168" fontId="13" fillId="10" borderId="6" xfId="0" applyNumberFormat="1" applyFont="1" applyFill="1" applyBorder="1" applyAlignment="1">
      <alignment horizontal="right" vertical="center"/>
    </xf>
    <xf numFmtId="168" fontId="13" fillId="3" borderId="3" xfId="0" applyNumberFormat="1" applyFont="1" applyFill="1" applyBorder="1" applyAlignment="1">
      <alignment horizontal="right" vertical="center"/>
    </xf>
    <xf numFmtId="168" fontId="13" fillId="3" borderId="6" xfId="0" applyNumberFormat="1" applyFont="1" applyFill="1" applyBorder="1" applyAlignment="1">
      <alignment horizontal="right" vertical="center"/>
    </xf>
    <xf numFmtId="0" fontId="13" fillId="11" borderId="6" xfId="0" applyFont="1" applyFill="1" applyBorder="1" applyAlignment="1">
      <alignment horizontal="left" vertical="center"/>
    </xf>
    <xf numFmtId="0" fontId="13" fillId="11" borderId="6" xfId="0" applyFont="1" applyFill="1" applyBorder="1" applyAlignment="1">
      <alignment vertical="center"/>
    </xf>
    <xf numFmtId="168" fontId="13" fillId="11" borderId="6" xfId="0" applyNumberFormat="1" applyFont="1" applyFill="1" applyBorder="1" applyAlignment="1">
      <alignment horizontal="right" vertical="center"/>
    </xf>
    <xf numFmtId="0" fontId="13" fillId="12" borderId="6" xfId="0" applyFont="1" applyFill="1" applyBorder="1" applyAlignment="1">
      <alignment vertical="center"/>
    </xf>
    <xf numFmtId="0" fontId="13" fillId="12" borderId="3" xfId="0" applyFont="1" applyFill="1" applyBorder="1" applyAlignment="1">
      <alignment vertical="center"/>
    </xf>
    <xf numFmtId="0" fontId="12" fillId="12" borderId="0" xfId="0" applyFont="1" applyFill="1" applyAlignment="1">
      <alignment vertical="center"/>
    </xf>
    <xf numFmtId="22" fontId="13" fillId="0" borderId="5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</cellXfs>
  <cellStyles count="24">
    <cellStyle name="Comma" xfId="10" builtinId="3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coptersquad.com/en/carboncore-h650-hexacopter-frame.html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21" Type="http://schemas.openxmlformats.org/officeDocument/2006/relationships/hyperlink" Target="http://shop.carboncore.co.uk/" TargetMode="External"/><Relationship Id="rId10" Type="http://schemas.openxmlformats.org/officeDocument/2006/relationships/hyperlink" Target="http://www.rc-drones.com/carboncore-X8-950-Quadcopter.php" TargetMode="External"/><Relationship Id="rId11" Type="http://schemas.openxmlformats.org/officeDocument/2006/relationships/hyperlink" Target="http://www.rc-drones.com/carboncore-X8-650-Quadcopter.php" TargetMode="External"/><Relationship Id="rId12" Type="http://schemas.openxmlformats.org/officeDocument/2006/relationships/hyperlink" Target="http://hobby-wing.com/arris-m1050-foldable-quadcopter-frame.html" TargetMode="External"/><Relationship Id="rId13" Type="http://schemas.openxmlformats.org/officeDocument/2006/relationships/hyperlink" Target="http://hobby-wing.com/hobby-wing-arris-4-6-rotor-multicopter-frame.html" TargetMode="External"/><Relationship Id="rId14" Type="http://schemas.openxmlformats.org/officeDocument/2006/relationships/hyperlink" Target="http://hobby-wing.com/arris-m680-foldable-quadcopter-frame.html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1" Type="http://schemas.openxmlformats.org/officeDocument/2006/relationships/hyperlink" Target="http://www.dji.com/product/spreading-wings-s1000" TargetMode="External"/><Relationship Id="rId2" Type="http://schemas.openxmlformats.org/officeDocument/2006/relationships/hyperlink" Target="http://aeronavics.com/products/shop/skyjib-airframe-kits/airframe-skyjib-8-ti-qr/" TargetMode="External"/><Relationship Id="rId3" Type="http://schemas.openxmlformats.org/officeDocument/2006/relationships/hyperlink" Target="http://www.dji.com/product/spreading-wings-s800-evo" TargetMode="External"/><Relationship Id="rId4" Type="http://schemas.openxmlformats.org/officeDocument/2006/relationships/hyperlink" Target="http://aeronavics.com/products/shop/skyjib-airframe-kits/airframe-skyjib-x4-ti-qr/" TargetMode="External"/><Relationship Id="rId5" Type="http://schemas.openxmlformats.org/officeDocument/2006/relationships/hyperlink" Target="http://aeronavics.com/products/shop/skyjib-airframe-kits/airframe-skyjib-super-6-ti-qr/" TargetMode="External"/><Relationship Id="rId6" Type="http://schemas.openxmlformats.org/officeDocument/2006/relationships/hyperlink" Target="http://aeronavics.com/products/shop/xm-airframe-kits/airframe-xm-8-ti-qr/" TargetMode="External"/><Relationship Id="rId7" Type="http://schemas.openxmlformats.org/officeDocument/2006/relationships/hyperlink" Target="http://aeronavics.com/products/shop/xm-airframe-kits/airframe-xm-6-ti-qr/" TargetMode="External"/><Relationship Id="rId8" Type="http://schemas.openxmlformats.org/officeDocument/2006/relationships/hyperlink" Target="http://www.coptersquad.com/en/carboncore-multicopter-h950-carboncore-hexacopter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4" Type="http://schemas.openxmlformats.org/officeDocument/2006/relationships/hyperlink" Target="http://www.coptersquad.com/en/feiyu-tech-fydosautopilot.html" TargetMode="External"/><Relationship Id="rId1" Type="http://schemas.openxmlformats.org/officeDocument/2006/relationships/hyperlink" Target="https://store.3drobotics.com/products/3dr-pixhawk" TargetMode="External"/><Relationship Id="rId2" Type="http://schemas.openxmlformats.org/officeDocument/2006/relationships/hyperlink" Target="https://store.3drobotics.com/products/apm-2-6-kit-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utaba-rc.com/systems/futk9410-14sg/index.html" TargetMode="External"/><Relationship Id="rId2" Type="http://schemas.openxmlformats.org/officeDocument/2006/relationships/hyperlink" Target="http://www.spektrumrc.com/Products/Default.aspx?ProdId=SPM6700" TargetMode="External"/><Relationship Id="rId3" Type="http://schemas.openxmlformats.org/officeDocument/2006/relationships/hyperlink" Target="http://www.futaba-rc.com/systems/futk8010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pdealera.com/cgi-bin/wgainf100p.pgm?I=FUTL7668" TargetMode="External"/><Relationship Id="rId4" Type="http://schemas.openxmlformats.org/officeDocument/2006/relationships/hyperlink" Target="http://www.gpdealera.com/cgi-bin/wgainf100p.pgm?I=FUTL7627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6" Type="http://schemas.openxmlformats.org/officeDocument/2006/relationships/hyperlink" Target="http://www.spektrumrc.com/Products/Default.aspx?ProdID=SPMAR8000" TargetMode="External"/><Relationship Id="rId7" Type="http://schemas.openxmlformats.org/officeDocument/2006/relationships/hyperlink" Target="http://www.spektrumrc.com/Products/Default.aspx?ProdID=SPMAR7610" TargetMode="External"/><Relationship Id="rId8" Type="http://schemas.openxmlformats.org/officeDocument/2006/relationships/hyperlink" Target="http://www.spektrumrc.com/Products/Default.aspx?ProdID=SPMAR610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2" Type="http://schemas.openxmlformats.org/officeDocument/2006/relationships/hyperlink" Target="http://www.gpdealera.com/cgi-bin/wgainf100p.pgm?I=FUTL764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a.canon.com/cusa/professional/products/professional_cameras/digital_slr_cameras/eos_5d_mark_iii" TargetMode="External"/><Relationship Id="rId2" Type="http://schemas.openxmlformats.org/officeDocument/2006/relationships/hyperlink" Target="http://www.nikonusa.com/en/Nikon-Products/Product/Digital-SLR-Cameras/D800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ji.com/product/zenmuse-z15-5d" TargetMode="External"/><Relationship Id="rId4" Type="http://schemas.openxmlformats.org/officeDocument/2006/relationships/hyperlink" Target="http://www.hobby-wing.com/arris-cm2000-gopro3-brushless-gimbal.html" TargetMode="External"/><Relationship Id="rId5" Type="http://schemas.openxmlformats.org/officeDocument/2006/relationships/hyperlink" Target="http://www.hobby-wing.com/arris-cm3000-gopro-hero3-brushless-motor-gimbal.html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8" Type="http://schemas.openxmlformats.org/officeDocument/2006/relationships/hyperlink" Target="http://www.hobby-wing.com/tarot-gopro-brushless-gimbal-tl68a00.html" TargetMode="External"/><Relationship Id="rId1" Type="http://schemas.openxmlformats.org/officeDocument/2006/relationships/hyperlink" Target="http://www.dji.com/product/zenmuse-h3-2d" TargetMode="External"/><Relationship Id="rId2" Type="http://schemas.openxmlformats.org/officeDocument/2006/relationships/hyperlink" Target="http://www.dji.com/product/zenmuse-h3-3d" TargetMode="External"/></Relationships>
</file>

<file path=xl/worksheets/_rels/sheet8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rctigermotor.com/html/2013/Navigator_1019/98.html" TargetMode="External"/><Relationship Id="rId21" Type="http://schemas.openxmlformats.org/officeDocument/2006/relationships/hyperlink" Target="http://www.rctigermotor.com/html/2013/Navigator_1019/99.html" TargetMode="External"/><Relationship Id="rId22" Type="http://schemas.openxmlformats.org/officeDocument/2006/relationships/hyperlink" Target="http://www.rctigermotor.com/html/2013/Power-Type_0928/90.html" TargetMode="External"/><Relationship Id="rId23" Type="http://schemas.openxmlformats.org/officeDocument/2006/relationships/hyperlink" Target="http://www.scorpionsystem.com/catalog/motors/hkiii-40/hkiii-4035/HKIII_4035_330/" TargetMode="External"/><Relationship Id="rId24" Type="http://schemas.openxmlformats.org/officeDocument/2006/relationships/hyperlink" Target="http://www.scorpionsystem.com/catalog/motors/hkiii-40/hkiii-4035/HKIII_4035_450/" TargetMode="External"/><Relationship Id="rId25" Type="http://schemas.openxmlformats.org/officeDocument/2006/relationships/hyperlink" Target="http://www.scorpionsystem.com/catalog/motors/hkiii-40/hkiii-4035/HKIII_4035_500/" TargetMode="External"/><Relationship Id="rId26" Type="http://schemas.openxmlformats.org/officeDocument/2006/relationships/hyperlink" Target="http://www.scorpionsystem.com/catalog/motors/hkiii-40/hkiii-4035/HKIII_4035_530/" TargetMode="External"/><Relationship Id="rId27" Type="http://schemas.openxmlformats.org/officeDocument/2006/relationships/hyperlink" Target="http://www.scorpionsystem.com/catalog/motors/hkiii-40/hkiii-4035/HKIII_4035_560/" TargetMode="External"/><Relationship Id="rId28" Type="http://schemas.openxmlformats.org/officeDocument/2006/relationships/hyperlink" Target="http://www.scorpionsystem.com/catalog/motors/m40/M_4015_340/" TargetMode="External"/><Relationship Id="rId29" Type="http://schemas.openxmlformats.org/officeDocument/2006/relationships/hyperlink" Target="http://www.scorpionsystem.com/catalog/motors/sii-40_series/SII_4020-420/" TargetMode="External"/><Relationship Id="rId1" Type="http://schemas.openxmlformats.org/officeDocument/2006/relationships/hyperlink" Target="http://www.scorpionsystem.com/catalog/motors/m40/M_4010_360/" TargetMode="External"/><Relationship Id="rId2" Type="http://schemas.openxmlformats.org/officeDocument/2006/relationships/hyperlink" Target="http://www.rctigermotor.com/html/2013/Navigator_1019/100.html" TargetMode="External"/><Relationship Id="rId3" Type="http://schemas.openxmlformats.org/officeDocument/2006/relationships/hyperlink" Target="http://www.rctigermotor.com/html/2013/Navigator_1019/100.html" TargetMode="External"/><Relationship Id="rId4" Type="http://schemas.openxmlformats.org/officeDocument/2006/relationships/hyperlink" Target="http://www.rctigermotor.com/html/2013/Navigator_0910/40.html" TargetMode="External"/><Relationship Id="rId5" Type="http://schemas.openxmlformats.org/officeDocument/2006/relationships/hyperlink" Target="http://www.rctigermotor.com/html/2013/Navigator_0910/40.html" TargetMode="External"/><Relationship Id="rId30" Type="http://schemas.openxmlformats.org/officeDocument/2006/relationships/hyperlink" Target="http://www.scorpionsystem.com/catalog/motors/sii-40_series/SII_4020-540/" TargetMode="External"/><Relationship Id="rId31" Type="http://schemas.openxmlformats.org/officeDocument/2006/relationships/hyperlink" Target="http://www.scorpionsystem.com/catalog/motors/sii-40_series/SII_4020-630/" TargetMode="External"/><Relationship Id="rId32" Type="http://schemas.openxmlformats.org/officeDocument/2006/relationships/hyperlink" Target="http://www.scorpionsystem.com/catalog/motors/sii-40_series/SII-4025-330/" TargetMode="External"/><Relationship Id="rId9" Type="http://schemas.openxmlformats.org/officeDocument/2006/relationships/hyperlink" Target="http://www.rctigermotor.com/html/2013/Navigator_0910/38.html" TargetMode="External"/><Relationship Id="rId6" Type="http://schemas.openxmlformats.org/officeDocument/2006/relationships/hyperlink" Target="http://www.rctigermotor.com/html/2013/Navigator_0910/39.html" TargetMode="External"/><Relationship Id="rId7" Type="http://schemas.openxmlformats.org/officeDocument/2006/relationships/hyperlink" Target="http://www.rctigermotor.com/html/2013/Navigator_0910/39.html" TargetMode="External"/><Relationship Id="rId8" Type="http://schemas.openxmlformats.org/officeDocument/2006/relationships/hyperlink" Target="http://www.rctigermotor.com/html/2013/Navigator_0910/39.html" TargetMode="External"/><Relationship Id="rId33" Type="http://schemas.openxmlformats.org/officeDocument/2006/relationships/hyperlink" Target="http://www.scorpionsystem.com/catalog/motors/sii-40_series/SII-4025-440/" TargetMode="External"/><Relationship Id="rId34" Type="http://schemas.openxmlformats.org/officeDocument/2006/relationships/hyperlink" Target="http://www.scorpionsystem.com/catalog/motors/sii-40_series/SII-4025-520/" TargetMode="External"/><Relationship Id="rId35" Type="http://schemas.openxmlformats.org/officeDocument/2006/relationships/hyperlink" Target="http://www.scorpionsystem.com/catalog/motors/sii-40_series/SII-4035-250/" TargetMode="External"/><Relationship Id="rId36" Type="http://schemas.openxmlformats.org/officeDocument/2006/relationships/hyperlink" Target="http://www.scorpionsystem.com/catalog/motors/sii-40_series/SII-4035-330/" TargetMode="External"/><Relationship Id="rId10" Type="http://schemas.openxmlformats.org/officeDocument/2006/relationships/hyperlink" Target="http://www.rctigermotor.com/html/2013/Navigator_0910/38.html" TargetMode="External"/><Relationship Id="rId11" Type="http://schemas.openxmlformats.org/officeDocument/2006/relationships/hyperlink" Target="http://www.rctigermotor.com/html/2013/Navigator_0910/38.html" TargetMode="External"/><Relationship Id="rId12" Type="http://schemas.openxmlformats.org/officeDocument/2006/relationships/hyperlink" Target="http://www.rctigermotor.com/html/2013/Navigator_0910/37.html" TargetMode="External"/><Relationship Id="rId13" Type="http://schemas.openxmlformats.org/officeDocument/2006/relationships/hyperlink" Target="http://www.rctigermotor.com/html/2013/Navigator_0910/37.html" TargetMode="External"/><Relationship Id="rId14" Type="http://schemas.openxmlformats.org/officeDocument/2006/relationships/hyperlink" Target="http://www.rctigermotor.com/html/2013/Navigator_0910/37.html" TargetMode="External"/><Relationship Id="rId15" Type="http://schemas.openxmlformats.org/officeDocument/2006/relationships/hyperlink" Target="http://www.rctigermotor.com/html/2013/Professional_0914/54.html" TargetMode="External"/><Relationship Id="rId16" Type="http://schemas.openxmlformats.org/officeDocument/2006/relationships/hyperlink" Target="http://www.rctigermotor.com/html/2013/Antigravity_Motors_0916/78.html" TargetMode="External"/><Relationship Id="rId17" Type="http://schemas.openxmlformats.org/officeDocument/2006/relationships/hyperlink" Target="http://www.rctigermotor.com/html/2013/Power-Type_0928/91.html" TargetMode="External"/><Relationship Id="rId18" Type="http://schemas.openxmlformats.org/officeDocument/2006/relationships/hyperlink" Target="http://www.rctigermotor.com/html/2013/Power-Type_0928/92.html" TargetMode="External"/><Relationship Id="rId19" Type="http://schemas.openxmlformats.org/officeDocument/2006/relationships/hyperlink" Target="http://www.rctigermotor.com/html/2013/Power-Type_0928/92.html" TargetMode="External"/><Relationship Id="rId37" Type="http://schemas.openxmlformats.org/officeDocument/2006/relationships/hyperlink" Target="http://www.scorpionsystem.com/catalog/motors/sii-40_series/SII-4035-380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uh_viewitem.asp?idproduct=2165&amp;aff=586251" TargetMode="External"/><Relationship Id="rId4" Type="http://schemas.openxmlformats.org/officeDocument/2006/relationships/hyperlink" Target="http://www.hobbyking.com/hobbyking/store/uh_viewitem.asp?idproduct=2164&amp;aff=586251" TargetMode="External"/><Relationship Id="rId5" Type="http://schemas.openxmlformats.org/officeDocument/2006/relationships/hyperlink" Target="http://www.hobbyking.com/hobbyking/store/__10943__Turnigy_Super_Brain_80A_Brushless_ESC.html" TargetMode="External"/><Relationship Id="rId6" Type="http://schemas.openxmlformats.org/officeDocument/2006/relationships/hyperlink" Target="http://www.hobby-wing.com/hobbywing-pentium-30a-brusless-esc.html" TargetMode="External"/><Relationship Id="rId7" Type="http://schemas.openxmlformats.org/officeDocument/2006/relationships/hyperlink" Target="http://www.hobby-wing.com/hobbywing-pentium-40a-brusless-esc.html" TargetMode="External"/><Relationship Id="rId1" Type="http://schemas.openxmlformats.org/officeDocument/2006/relationships/hyperlink" Target="http://www.hobbyking.com/hobbyking/store/uh_viewitem.asp?idproduct=2163&amp;aff=586251" TargetMode="External"/><Relationship Id="rId2" Type="http://schemas.openxmlformats.org/officeDocument/2006/relationships/hyperlink" Target="http://www.hobbyking.com/hobbyking/store/uh_viewitem.asp?idproduct=2166&amp;aff=58625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19154__Turnigy_nano_tech_5000mah_4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1" Type="http://schemas.openxmlformats.org/officeDocument/2006/relationships/hyperlink" Target="http://rc-drones.com/hyp-g3-vx5400-4s.php" TargetMode="External"/><Relationship Id="rId2" Type="http://schemas.openxmlformats.org/officeDocument/2006/relationships/hyperlink" Target="http://www.hobbyking.com/hobbyking/store/__19155__Turnigy_nano_tech_5000mah_5S_65_130C_Lipo_Pack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c-drones.com/gemfan-137.php" TargetMode="External"/><Relationship Id="rId2" Type="http://schemas.openxmlformats.org/officeDocument/2006/relationships/hyperlink" Target="http://www.rc-drones.com/gemfan-S800-Prop.php" TargetMode="External"/><Relationship Id="rId3" Type="http://schemas.openxmlformats.org/officeDocument/2006/relationships/hyperlink" Target="http://www.rc-drones.com/APC-12x4-5-Left-Propeller.php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50"/>
  <sheetViews>
    <sheetView tabSelected="1" view="pageLayout" topLeftCell="C21" workbookViewId="0">
      <selection activeCell="F21" sqref="F21"/>
    </sheetView>
  </sheetViews>
  <sheetFormatPr baseColWidth="10" defaultColWidth="8.83203125" defaultRowHeight="14" x14ac:dyDescent="0"/>
  <cols>
    <col min="1" max="1" width="7.83203125" style="186" bestFit="1" customWidth="1"/>
    <col min="2" max="2" width="9.6640625" style="186" bestFit="1" customWidth="1"/>
    <col min="3" max="3" width="11.6640625" style="186" customWidth="1"/>
    <col min="4" max="4" width="13.5" style="186" bestFit="1" customWidth="1"/>
    <col min="5" max="5" width="12.6640625" style="186" customWidth="1"/>
    <col min="6" max="6" width="11.6640625" style="204" bestFit="1" customWidth="1"/>
    <col min="7" max="7" width="11.6640625" style="186" bestFit="1" customWidth="1"/>
    <col min="8" max="8" width="12.6640625" style="186" bestFit="1" customWidth="1"/>
    <col min="9" max="9" width="11.1640625" style="186" customWidth="1"/>
    <col min="10" max="10" width="10.83203125" style="186" bestFit="1" customWidth="1"/>
    <col min="11" max="11" width="11.33203125" style="186" bestFit="1" customWidth="1"/>
    <col min="12" max="16384" width="8.83203125" style="186"/>
  </cols>
  <sheetData>
    <row r="1" spans="1:10" ht="15">
      <c r="A1" s="205"/>
      <c r="B1" s="205"/>
      <c r="C1" s="205"/>
      <c r="D1" s="205"/>
      <c r="E1" s="206"/>
      <c r="F1" s="205"/>
      <c r="G1" s="205"/>
      <c r="H1" s="207"/>
      <c r="I1" s="353">
        <f ca="1">NOW()</f>
        <v>41738.554235995369</v>
      </c>
      <c r="J1" s="353"/>
    </row>
    <row r="2" spans="1:10" ht="16" customHeight="1">
      <c r="A2" s="212" t="s">
        <v>44</v>
      </c>
      <c r="B2" s="212" t="s">
        <v>45</v>
      </c>
      <c r="C2" s="212" t="s">
        <v>561</v>
      </c>
      <c r="D2" s="212" t="s">
        <v>437</v>
      </c>
      <c r="E2" s="212" t="s">
        <v>436</v>
      </c>
      <c r="F2" s="185" t="s">
        <v>46</v>
      </c>
      <c r="G2" s="185" t="s">
        <v>47</v>
      </c>
      <c r="H2" s="185" t="s">
        <v>48</v>
      </c>
      <c r="I2" s="213" t="s">
        <v>49</v>
      </c>
      <c r="J2" s="213" t="s">
        <v>50</v>
      </c>
    </row>
    <row r="3" spans="1:10" ht="16" customHeight="1">
      <c r="A3" s="187">
        <v>1</v>
      </c>
      <c r="B3" s="189" t="s">
        <v>54</v>
      </c>
      <c r="C3" s="188" t="s">
        <v>113</v>
      </c>
      <c r="D3" s="188" t="str">
        <f>INDEX(Frame_Brand,MATCH(E3,Frame_Model,0))</f>
        <v>Carboncore</v>
      </c>
      <c r="E3" s="189" t="s">
        <v>108</v>
      </c>
      <c r="F3" s="190">
        <v>1</v>
      </c>
      <c r="G3" s="191">
        <f>INDEX(Frame_Mass,MATCH(E3,Frame_Model,0))</f>
        <v>780</v>
      </c>
      <c r="H3" s="190">
        <f>G3*F3</f>
        <v>780</v>
      </c>
      <c r="I3" s="192">
        <f>INDEX(Frame_Price,MATCH(E3,Frame_Model,0))</f>
        <v>590</v>
      </c>
      <c r="J3" s="193">
        <f>I3*F3</f>
        <v>590</v>
      </c>
    </row>
    <row r="4" spans="1:10" ht="16" customHeight="1">
      <c r="A4" s="187">
        <v>2</v>
      </c>
      <c r="B4" s="189" t="s">
        <v>52</v>
      </c>
      <c r="C4" s="188" t="s">
        <v>114</v>
      </c>
      <c r="D4" s="188" t="str">
        <f>INDEX(FC_Brand,MATCH(E4,FC_Model,0))</f>
        <v>DJI</v>
      </c>
      <c r="E4" s="189" t="s">
        <v>83</v>
      </c>
      <c r="F4" s="190">
        <v>1</v>
      </c>
      <c r="G4" s="191">
        <f>INDEX(FC_Mass,MATCH(E4,FC_Model,0))</f>
        <v>95</v>
      </c>
      <c r="H4" s="194">
        <f t="shared" ref="H4:H13" si="0">G4*F4</f>
        <v>95</v>
      </c>
      <c r="I4" s="195">
        <f>INDEX(FC_Price,MATCH(E4,FC_Model,0))</f>
        <v>299</v>
      </c>
      <c r="J4" s="196">
        <f t="shared" ref="J4:J13" si="1">I4*F4</f>
        <v>299</v>
      </c>
    </row>
    <row r="5" spans="1:10" ht="16" customHeight="1">
      <c r="A5" s="187">
        <v>3</v>
      </c>
      <c r="B5" s="189" t="s">
        <v>52</v>
      </c>
      <c r="C5" s="351" t="s">
        <v>130</v>
      </c>
      <c r="D5" s="188" t="str">
        <f>INDEX(Tx_Brand,MATCH(E5,Tx_Model,0))</f>
        <v>Futaba</v>
      </c>
      <c r="E5" s="189" t="s">
        <v>326</v>
      </c>
      <c r="F5" s="190">
        <v>1</v>
      </c>
      <c r="G5" s="191">
        <v>0</v>
      </c>
      <c r="H5" s="194">
        <v>0</v>
      </c>
      <c r="I5" s="195">
        <f>INDEX(Tx_Price,MATCH(E5,Tx_Model,0))</f>
        <v>479</v>
      </c>
      <c r="J5" s="196">
        <f t="shared" si="1"/>
        <v>479</v>
      </c>
    </row>
    <row r="6" spans="1:10" ht="16" customHeight="1">
      <c r="A6" s="187">
        <v>4</v>
      </c>
      <c r="B6" s="189" t="s">
        <v>52</v>
      </c>
      <c r="C6" s="351" t="s">
        <v>53</v>
      </c>
      <c r="D6" s="188" t="str">
        <f>INDEX(RC_Brand,MATCH(E6,RC_Model2,0))</f>
        <v>Futaba</v>
      </c>
      <c r="E6" s="189" t="s">
        <v>205</v>
      </c>
      <c r="F6" s="190">
        <v>1</v>
      </c>
      <c r="G6" s="191">
        <f>INDEX(RC_Mass,MATCH(E6,RC_Model2,0))</f>
        <v>13.8</v>
      </c>
      <c r="H6" s="194">
        <f t="shared" si="0"/>
        <v>13.8</v>
      </c>
      <c r="I6" s="195">
        <f>INDEX(RC_Price,MATCH(E6,RC_Model2,0))</f>
        <v>129.99</v>
      </c>
      <c r="J6" s="196">
        <f t="shared" si="1"/>
        <v>129.99</v>
      </c>
    </row>
    <row r="7" spans="1:10" ht="16" customHeight="1">
      <c r="A7" s="187">
        <v>5</v>
      </c>
      <c r="B7" s="189" t="s">
        <v>52</v>
      </c>
      <c r="C7" s="351" t="s">
        <v>57</v>
      </c>
      <c r="D7" s="188" t="str">
        <f>INDEX(Camera_Brand,MATCH(E7,Camera_Model,0))</f>
        <v>GoPro</v>
      </c>
      <c r="E7" s="189" t="s">
        <v>121</v>
      </c>
      <c r="F7" s="190">
        <v>1</v>
      </c>
      <c r="G7" s="191">
        <f>INDEX('5. Cameras'!I3:I9,MATCH(E7,Camera_Model,0))</f>
        <v>74</v>
      </c>
      <c r="H7" s="194">
        <f t="shared" si="0"/>
        <v>74</v>
      </c>
      <c r="I7" s="195">
        <f>INDEX(Camera_Price,MATCH(E7,Camera_Model,0))</f>
        <v>399.99</v>
      </c>
      <c r="J7" s="196">
        <f t="shared" si="1"/>
        <v>399.99</v>
      </c>
    </row>
    <row r="8" spans="1:10" ht="16" customHeight="1">
      <c r="A8" s="187">
        <v>6</v>
      </c>
      <c r="B8" s="189" t="s">
        <v>52</v>
      </c>
      <c r="C8" s="188" t="s">
        <v>56</v>
      </c>
      <c r="D8" s="188" t="str">
        <f>INDEX(Gimbal_Brand2,MATCH(E8,Gimbal_Model,0))</f>
        <v>DJI</v>
      </c>
      <c r="E8" s="189" t="s">
        <v>128</v>
      </c>
      <c r="F8" s="190">
        <v>1</v>
      </c>
      <c r="G8" s="191">
        <f>INDEX(Gimbal_Mass,MATCH(E8,Gimbal_Model,0))</f>
        <v>168</v>
      </c>
      <c r="H8" s="194">
        <f t="shared" si="0"/>
        <v>168</v>
      </c>
      <c r="I8" s="195">
        <f>INDEX(Gimbal_Price,MATCH(E8,Gimbal_Model,0))</f>
        <v>500</v>
      </c>
      <c r="J8" s="196">
        <f t="shared" si="1"/>
        <v>500</v>
      </c>
    </row>
    <row r="9" spans="1:10" ht="16" customHeight="1">
      <c r="A9" s="187">
        <v>7</v>
      </c>
      <c r="B9" s="189" t="s">
        <v>52</v>
      </c>
      <c r="C9" s="188" t="s">
        <v>60</v>
      </c>
      <c r="D9" s="188" t="str">
        <f>INDEX(Motor_Brand,MATCH(E9,Motor_Model,0))</f>
        <v>Tiger</v>
      </c>
      <c r="E9" s="189" t="s">
        <v>271</v>
      </c>
      <c r="F9" s="190" t="str">
        <f>INDEX(Number_of_Motors, MATCH(E3,Frame_Model,0))</f>
        <v>6</v>
      </c>
      <c r="G9" s="191">
        <f>INDEX(Motor_Mass,MATCH(E9,Motor_Model,0))</f>
        <v>156</v>
      </c>
      <c r="H9" s="190">
        <f t="shared" si="0"/>
        <v>936</v>
      </c>
      <c r="I9" s="192">
        <f>INDEX(Motor_Price,MATCH(E9,Motor_Model,0))</f>
        <v>125.9</v>
      </c>
      <c r="J9" s="193">
        <f t="shared" si="1"/>
        <v>755.40000000000009</v>
      </c>
    </row>
    <row r="10" spans="1:10" ht="16" customHeight="1">
      <c r="A10" s="187">
        <v>8</v>
      </c>
      <c r="B10" s="198" t="s">
        <v>52</v>
      </c>
      <c r="C10" s="197" t="s">
        <v>61</v>
      </c>
      <c r="D10" s="188" t="str">
        <f>INDEX(ESC_Brand,MATCH(E10,ESC_Model2,0))</f>
        <v>Maytech</v>
      </c>
      <c r="E10" s="198" t="s">
        <v>401</v>
      </c>
      <c r="F10" s="199" t="str">
        <f>F9</f>
        <v>6</v>
      </c>
      <c r="G10" s="191">
        <f>INDEX(ESC_Mass,MATCH(E10,ESC_Model2,0))</f>
        <v>35</v>
      </c>
      <c r="H10" s="190">
        <f t="shared" si="0"/>
        <v>210</v>
      </c>
      <c r="I10" s="192">
        <f>INDEX(ESC_Price,MATCH(E10,ESC_Model2,0))</f>
        <v>37</v>
      </c>
      <c r="J10" s="193">
        <f t="shared" si="1"/>
        <v>222</v>
      </c>
    </row>
    <row r="11" spans="1:10" ht="16" customHeight="1">
      <c r="A11" s="187">
        <v>9</v>
      </c>
      <c r="B11" s="198" t="s">
        <v>52</v>
      </c>
      <c r="C11" s="197" t="s">
        <v>62</v>
      </c>
      <c r="D11" s="188" t="str">
        <f>INDEX(Bat_Brand,MATCH(E11,Bat_Model,0))</f>
        <v>ADC</v>
      </c>
      <c r="E11" s="198" t="s">
        <v>451</v>
      </c>
      <c r="F11" s="199">
        <v>2</v>
      </c>
      <c r="G11" s="191">
        <f>INDEX(Bat_Mass,MATCH(E11,Bat_Model,0))</f>
        <v>790</v>
      </c>
      <c r="H11" s="190">
        <f t="shared" si="0"/>
        <v>1580</v>
      </c>
      <c r="I11" s="192">
        <f>INDEX(Bat_Price,MATCH(E11,Bat_Model,0))</f>
        <v>189</v>
      </c>
      <c r="J11" s="193">
        <f t="shared" si="1"/>
        <v>378</v>
      </c>
    </row>
    <row r="12" spans="1:10" ht="16" customHeight="1">
      <c r="A12" s="187">
        <v>10</v>
      </c>
      <c r="B12" s="198" t="s">
        <v>54</v>
      </c>
      <c r="C12" s="197" t="s">
        <v>58</v>
      </c>
      <c r="D12" s="188" t="str">
        <f>INDEX(Prop_Brand,MATCH(E12,Prop_Model,0))</f>
        <v>GemFan</v>
      </c>
      <c r="E12" s="198" t="s">
        <v>478</v>
      </c>
      <c r="F12" s="199">
        <v>5</v>
      </c>
      <c r="G12" s="191">
        <f>INDEX(Prop_Mass,MATCH(E12,Prop_Model,0))</f>
        <v>16.399999999999999</v>
      </c>
      <c r="H12" s="190">
        <f>G12*$F$9</f>
        <v>98.399999999999991</v>
      </c>
      <c r="I12" s="192">
        <f>INDEX(Prop_Price,MATCH(E12,Prop_Model,0))</f>
        <v>40</v>
      </c>
      <c r="J12" s="193">
        <f t="shared" si="1"/>
        <v>200</v>
      </c>
    </row>
    <row r="13" spans="1:10" ht="16" customHeight="1">
      <c r="A13" s="187">
        <v>11</v>
      </c>
      <c r="B13" s="198" t="s">
        <v>54</v>
      </c>
      <c r="C13" s="350" t="s">
        <v>55</v>
      </c>
      <c r="D13" s="188" t="str">
        <f>INDEX(Acc_Brand,MATCH(E13,Acc_Model,0))</f>
        <v>Spot</v>
      </c>
      <c r="E13" s="198" t="s">
        <v>160</v>
      </c>
      <c r="F13" s="199">
        <v>1</v>
      </c>
      <c r="G13" s="191">
        <f>INDEX(Acc_Mass,MATCH(E13,Acc_Model,0))</f>
        <v>88</v>
      </c>
      <c r="H13" s="190">
        <f t="shared" si="0"/>
        <v>88</v>
      </c>
      <c r="I13" s="192">
        <f>INDEX(Acc_Price,MATCH(E13,Acc_Model,0))</f>
        <v>199.83999999999997</v>
      </c>
      <c r="J13" s="193">
        <f t="shared" si="1"/>
        <v>199.83999999999997</v>
      </c>
    </row>
    <row r="14" spans="1:10" ht="16" customHeight="1">
      <c r="A14" s="208" t="s">
        <v>59</v>
      </c>
      <c r="B14" s="208"/>
      <c r="C14" s="208"/>
      <c r="D14" s="208"/>
      <c r="E14" s="208" t="s">
        <v>134</v>
      </c>
      <c r="F14" s="208">
        <f>SUM(F3:F13)</f>
        <v>14</v>
      </c>
      <c r="G14" s="208" t="s">
        <v>133</v>
      </c>
      <c r="H14" s="209">
        <f>SUM(H3:H13)</f>
        <v>4043.2000000000003</v>
      </c>
      <c r="I14" s="210" t="s">
        <v>132</v>
      </c>
      <c r="J14" s="211">
        <f>SUM(J3:J13)</f>
        <v>4153.22</v>
      </c>
    </row>
    <row r="15" spans="1:10" s="200" customFormat="1" ht="19" customHeight="1">
      <c r="F15" s="201"/>
      <c r="I15" s="202" t="s">
        <v>435</v>
      </c>
      <c r="J15" s="203">
        <f>J14-J5-J7</f>
        <v>3274.2300000000005</v>
      </c>
    </row>
    <row r="16" spans="1:10" s="200" customFormat="1" ht="19" customHeight="1">
      <c r="A16" s="205"/>
      <c r="B16" s="205"/>
      <c r="D16" s="205"/>
      <c r="H16" s="200" t="s">
        <v>560</v>
      </c>
    </row>
    <row r="17" spans="1:10" s="200" customFormat="1" ht="19" customHeight="1">
      <c r="A17" s="212" t="s">
        <v>44</v>
      </c>
      <c r="B17" s="212" t="s">
        <v>45</v>
      </c>
      <c r="C17" s="212" t="s">
        <v>561</v>
      </c>
      <c r="D17" s="185" t="s">
        <v>536</v>
      </c>
      <c r="H17" s="352" t="s">
        <v>553</v>
      </c>
    </row>
    <row r="18" spans="1:10" s="200" customFormat="1" ht="19" customHeight="1">
      <c r="A18" s="328">
        <v>1</v>
      </c>
      <c r="B18" s="329" t="s">
        <v>54</v>
      </c>
      <c r="C18" s="330" t="s">
        <v>113</v>
      </c>
      <c r="D18" s="331">
        <f>'1. Multirotor Frames'!A23</f>
        <v>9</v>
      </c>
      <c r="G18" s="202"/>
      <c r="H18" s="202"/>
      <c r="I18" s="202"/>
      <c r="J18" s="202"/>
    </row>
    <row r="19" spans="1:10" s="200" customFormat="1" ht="19" customHeight="1">
      <c r="A19" s="328">
        <v>2</v>
      </c>
      <c r="B19" s="329" t="s">
        <v>52</v>
      </c>
      <c r="C19" s="330" t="s">
        <v>114</v>
      </c>
      <c r="D19" s="331">
        <f>'2. Flight Controllers'!A9</f>
        <v>5</v>
      </c>
      <c r="G19" s="202"/>
      <c r="H19" s="202"/>
      <c r="I19" s="202"/>
      <c r="J19" s="202"/>
    </row>
    <row r="20" spans="1:10" s="200" customFormat="1" ht="19" customHeight="1">
      <c r="A20" s="328">
        <v>3</v>
      </c>
      <c r="B20" s="329" t="s">
        <v>52</v>
      </c>
      <c r="C20" s="330" t="s">
        <v>130</v>
      </c>
      <c r="D20" s="331">
        <f>'3. Transmitters'!A17</f>
        <v>1</v>
      </c>
      <c r="F20" s="200" t="s">
        <v>566</v>
      </c>
      <c r="G20" s="202"/>
      <c r="H20" s="202"/>
      <c r="I20" s="202"/>
      <c r="J20" s="202"/>
    </row>
    <row r="21" spans="1:10" s="200" customFormat="1" ht="19" customHeight="1">
      <c r="A21" s="328">
        <v>4</v>
      </c>
      <c r="B21" s="329" t="s">
        <v>52</v>
      </c>
      <c r="C21" s="330" t="s">
        <v>53</v>
      </c>
      <c r="D21" s="331">
        <f>'4. Receivers'!A12</f>
        <v>1</v>
      </c>
      <c r="G21" s="320"/>
      <c r="H21" s="202"/>
      <c r="I21" s="202"/>
      <c r="J21" s="202"/>
    </row>
    <row r="22" spans="1:10" s="200" customFormat="1" ht="19" customHeight="1">
      <c r="A22" s="336">
        <v>5</v>
      </c>
      <c r="B22" s="337" t="s">
        <v>55</v>
      </c>
      <c r="C22" s="324" t="s">
        <v>57</v>
      </c>
      <c r="D22" s="338">
        <f>'5. Cameras'!A9</f>
        <v>1</v>
      </c>
      <c r="G22" s="202"/>
      <c r="H22" s="202"/>
      <c r="I22" s="202"/>
      <c r="J22" s="202"/>
    </row>
    <row r="23" spans="1:10" s="200" customFormat="1" ht="19" customHeight="1">
      <c r="A23" s="336">
        <v>6</v>
      </c>
      <c r="B23" s="337" t="s">
        <v>55</v>
      </c>
      <c r="C23" s="324" t="s">
        <v>56</v>
      </c>
      <c r="D23" s="338">
        <f>'6. Gimbals'!A10</f>
        <v>5</v>
      </c>
      <c r="G23" s="202"/>
      <c r="H23" s="202"/>
      <c r="I23" s="202"/>
      <c r="J23" s="202"/>
    </row>
    <row r="24" spans="1:10" s="200" customFormat="1" ht="19" customHeight="1">
      <c r="A24" s="328">
        <v>7</v>
      </c>
      <c r="B24" s="329" t="s">
        <v>52</v>
      </c>
      <c r="C24" s="330" t="s">
        <v>60</v>
      </c>
      <c r="D24" s="331">
        <f>'7. Motors'!A49</f>
        <v>20</v>
      </c>
      <c r="G24" s="202"/>
      <c r="H24" s="202"/>
      <c r="I24" s="202"/>
      <c r="J24" s="202"/>
    </row>
    <row r="25" spans="1:10" s="200" customFormat="1" ht="19" customHeight="1">
      <c r="A25" s="328">
        <v>8</v>
      </c>
      <c r="B25" s="333" t="s">
        <v>52</v>
      </c>
      <c r="C25" s="334" t="s">
        <v>61</v>
      </c>
      <c r="D25" s="335">
        <f>'8. ESCs'!A30</f>
        <v>23</v>
      </c>
      <c r="G25" s="202"/>
      <c r="H25" s="202"/>
      <c r="I25" s="202"/>
      <c r="J25" s="202"/>
    </row>
    <row r="26" spans="1:10" s="200" customFormat="1" ht="19" customHeight="1">
      <c r="A26" s="328">
        <v>9</v>
      </c>
      <c r="B26" s="333" t="s">
        <v>52</v>
      </c>
      <c r="C26" s="334" t="s">
        <v>62</v>
      </c>
      <c r="D26" s="335">
        <f>'9. Batteries'!A19</f>
        <v>17</v>
      </c>
      <c r="G26" s="202"/>
      <c r="H26" s="202"/>
      <c r="I26" s="202"/>
      <c r="J26" s="202"/>
    </row>
    <row r="27" spans="1:10" s="200" customFormat="1" ht="19" customHeight="1">
      <c r="A27" s="328">
        <v>10</v>
      </c>
      <c r="B27" s="333" t="s">
        <v>54</v>
      </c>
      <c r="C27" s="334" t="s">
        <v>58</v>
      </c>
      <c r="D27" s="335">
        <f>'10. Propellers'!A30</f>
        <v>28</v>
      </c>
      <c r="G27" s="202"/>
      <c r="H27" s="202"/>
      <c r="I27" s="202"/>
      <c r="J27" s="202"/>
    </row>
    <row r="28" spans="1:10" s="200" customFormat="1" ht="19" customHeight="1">
      <c r="A28" s="339">
        <v>11</v>
      </c>
      <c r="B28" s="340" t="s">
        <v>55</v>
      </c>
      <c r="C28" s="341" t="s">
        <v>159</v>
      </c>
      <c r="D28" s="342">
        <v>1</v>
      </c>
      <c r="G28" s="202"/>
      <c r="H28" s="202"/>
      <c r="I28" s="202"/>
      <c r="J28" s="202"/>
    </row>
    <row r="29" spans="1:10" s="200" customFormat="1" ht="19" customHeight="1">
      <c r="A29" s="208"/>
      <c r="B29" s="208"/>
      <c r="C29" s="229" t="s">
        <v>362</v>
      </c>
      <c r="D29" s="316">
        <f>D18*D19*D20*D21*D22*D23*D24*D25*D26*D27</f>
        <v>49266000</v>
      </c>
      <c r="G29" s="202"/>
      <c r="H29" s="202"/>
      <c r="I29" s="202"/>
      <c r="J29" s="202"/>
    </row>
    <row r="30" spans="1:10">
      <c r="G30" s="322"/>
      <c r="H30" s="322"/>
      <c r="I30" s="322"/>
      <c r="J30" s="322"/>
    </row>
    <row r="31" spans="1:10" ht="15">
      <c r="A31" s="205"/>
      <c r="B31" s="205"/>
      <c r="C31" s="200"/>
      <c r="D31" s="317"/>
      <c r="E31" s="205" t="s">
        <v>553</v>
      </c>
      <c r="F31" s="201" t="s">
        <v>554</v>
      </c>
      <c r="G31" s="186" t="s">
        <v>564</v>
      </c>
    </row>
    <row r="32" spans="1:10" ht="15">
      <c r="A32" s="212" t="s">
        <v>44</v>
      </c>
      <c r="B32" s="212" t="s">
        <v>45</v>
      </c>
      <c r="C32" s="212" t="s">
        <v>561</v>
      </c>
      <c r="D32" s="318" t="s">
        <v>536</v>
      </c>
      <c r="E32" s="201" t="s">
        <v>551</v>
      </c>
      <c r="F32" s="200"/>
    </row>
    <row r="33" spans="1:7" ht="15">
      <c r="A33" s="328">
        <v>1</v>
      </c>
      <c r="B33" s="329" t="s">
        <v>51</v>
      </c>
      <c r="C33" s="330" t="s">
        <v>113</v>
      </c>
      <c r="D33" s="343">
        <v>21</v>
      </c>
      <c r="E33" s="202">
        <v>9</v>
      </c>
      <c r="F33" s="200"/>
    </row>
    <row r="34" spans="1:7" ht="15">
      <c r="A34" s="328">
        <v>2</v>
      </c>
      <c r="B34" s="329" t="s">
        <v>52</v>
      </c>
      <c r="C34" s="330" t="s">
        <v>114</v>
      </c>
      <c r="D34" s="343">
        <v>7</v>
      </c>
      <c r="E34" s="202">
        <v>5</v>
      </c>
      <c r="F34" s="200"/>
    </row>
    <row r="35" spans="1:7" ht="15">
      <c r="A35" s="328">
        <v>3</v>
      </c>
      <c r="B35" s="329" t="s">
        <v>52</v>
      </c>
      <c r="C35" s="330" t="s">
        <v>130</v>
      </c>
      <c r="D35" s="343">
        <v>13</v>
      </c>
      <c r="E35" s="202">
        <v>1</v>
      </c>
      <c r="F35" s="200">
        <v>1</v>
      </c>
      <c r="G35" s="186">
        <v>1</v>
      </c>
    </row>
    <row r="36" spans="1:7" ht="15">
      <c r="A36" s="328">
        <v>4</v>
      </c>
      <c r="B36" s="329" t="s">
        <v>52</v>
      </c>
      <c r="C36" s="330" t="s">
        <v>53</v>
      </c>
      <c r="D36" s="343">
        <v>8</v>
      </c>
      <c r="E36" s="202">
        <v>1</v>
      </c>
      <c r="F36" s="200">
        <v>1</v>
      </c>
      <c r="G36" s="186">
        <v>1</v>
      </c>
    </row>
    <row r="37" spans="1:7" ht="15">
      <c r="A37" s="336">
        <v>5</v>
      </c>
      <c r="B37" s="340" t="s">
        <v>55</v>
      </c>
      <c r="C37" s="324" t="s">
        <v>57</v>
      </c>
      <c r="D37" s="345">
        <v>7</v>
      </c>
      <c r="E37" s="202">
        <v>1</v>
      </c>
      <c r="F37" s="200">
        <v>1</v>
      </c>
      <c r="G37" s="186">
        <v>1</v>
      </c>
    </row>
    <row r="38" spans="1:7" ht="15">
      <c r="A38" s="336">
        <v>6</v>
      </c>
      <c r="B38" s="340" t="s">
        <v>55</v>
      </c>
      <c r="C38" s="324" t="s">
        <v>56</v>
      </c>
      <c r="D38" s="345">
        <v>7</v>
      </c>
      <c r="E38" s="202">
        <v>5</v>
      </c>
      <c r="F38" s="200"/>
    </row>
    <row r="39" spans="1:7" ht="15">
      <c r="A39" s="328">
        <v>7</v>
      </c>
      <c r="B39" s="329" t="s">
        <v>52</v>
      </c>
      <c r="C39" s="330" t="s">
        <v>60</v>
      </c>
      <c r="D39" s="343">
        <v>37</v>
      </c>
      <c r="E39" s="202">
        <v>20</v>
      </c>
      <c r="F39" s="200"/>
    </row>
    <row r="40" spans="1:7" ht="15">
      <c r="A40" s="328">
        <v>8</v>
      </c>
      <c r="B40" s="333" t="s">
        <v>52</v>
      </c>
      <c r="C40" s="334" t="s">
        <v>61</v>
      </c>
      <c r="D40" s="344">
        <v>23</v>
      </c>
      <c r="E40" s="202">
        <v>23</v>
      </c>
      <c r="F40" s="200"/>
    </row>
    <row r="41" spans="1:7" ht="15">
      <c r="A41" s="328">
        <v>9</v>
      </c>
      <c r="B41" s="333" t="s">
        <v>52</v>
      </c>
      <c r="C41" s="334" t="s">
        <v>62</v>
      </c>
      <c r="D41" s="344">
        <v>17</v>
      </c>
      <c r="E41" s="202">
        <v>17</v>
      </c>
      <c r="F41" s="200"/>
    </row>
    <row r="42" spans="1:7" ht="15">
      <c r="A42" s="332">
        <v>10</v>
      </c>
      <c r="B42" s="347" t="s">
        <v>54</v>
      </c>
      <c r="C42" s="348" t="s">
        <v>58</v>
      </c>
      <c r="D42" s="349">
        <v>28</v>
      </c>
      <c r="E42" s="202">
        <v>28</v>
      </c>
      <c r="F42" s="200"/>
    </row>
    <row r="43" spans="1:7" ht="15">
      <c r="A43" s="339">
        <v>11</v>
      </c>
      <c r="B43" s="340" t="s">
        <v>55</v>
      </c>
      <c r="C43" s="341" t="s">
        <v>159</v>
      </c>
      <c r="D43" s="346">
        <v>1</v>
      </c>
      <c r="E43" s="202">
        <v>1</v>
      </c>
      <c r="F43" s="200">
        <v>1</v>
      </c>
      <c r="G43" s="186">
        <v>1</v>
      </c>
    </row>
    <row r="44" spans="1:7" ht="15">
      <c r="A44" s="208"/>
      <c r="B44" s="208"/>
      <c r="C44" s="229" t="s">
        <v>362</v>
      </c>
      <c r="D44" s="316">
        <f>D33*D34*D35*D36*D37*D38*D39*D40*D41*D42</f>
        <v>303447292512</v>
      </c>
      <c r="E44" s="323">
        <f>E33*E34*E35*E36*E37*E38*E39*E40*E41*E42</f>
        <v>49266000</v>
      </c>
      <c r="F44" s="323">
        <f>F33*F34*F35*F36*F37*F38*F39*F40*F41*F42</f>
        <v>0</v>
      </c>
    </row>
    <row r="45" spans="1:7">
      <c r="D45" s="201" t="s">
        <v>552</v>
      </c>
      <c r="E45" s="321">
        <f>(1-(49266000/D44))*100</f>
        <v>99.983764561024032</v>
      </c>
    </row>
    <row r="50" spans="2:2">
      <c r="B50" s="186" t="s">
        <v>562</v>
      </c>
    </row>
  </sheetData>
  <mergeCells count="1">
    <mergeCell ref="I1:J1"/>
  </mergeCells>
  <phoneticPr fontId="9" type="noConversion"/>
  <dataValidations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75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'6. Gimbals'!$C$3:$C$10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Frames'!$D$3:$D$23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ESCs'!$C$3:$C$25</xm:f>
          </x14:formula1>
          <xm:sqref>E10</xm:sqref>
        </x14:dataValidation>
        <x14:dataValidation type="list" allowBlank="1" showInputMessage="1" showErrorMessage="1">
          <x14:formula1>
            <xm:f>'9. Batteries'!$C$3:$C$19</xm:f>
          </x14:formula1>
          <xm:sqref>E11</xm:sqref>
        </x14:dataValidation>
        <x14:dataValidation type="list" allowBlank="1" showInputMessage="1" showErrorMessage="1">
          <x14:formula1>
            <xm:f>'10. Propellers'!$D$3:$D$30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30"/>
  <sheetViews>
    <sheetView view="pageLayout" topLeftCell="B7" workbookViewId="0">
      <selection activeCell="Q18" sqref="Q18"/>
    </sheetView>
  </sheetViews>
  <sheetFormatPr baseColWidth="10" defaultColWidth="8.83203125" defaultRowHeight="15" x14ac:dyDescent="0"/>
  <cols>
    <col min="1" max="1" width="4.6640625" bestFit="1" customWidth="1"/>
    <col min="2" max="2" width="10.6640625" bestFit="1" customWidth="1"/>
    <col min="3" max="3" width="14.83203125" bestFit="1" customWidth="1"/>
    <col min="4" max="4" width="14.5" bestFit="1" customWidth="1"/>
    <col min="5" max="5" width="5.5" customWidth="1"/>
    <col min="6" max="6" width="5.33203125" bestFit="1" customWidth="1"/>
    <col min="7" max="7" width="8.33203125" bestFit="1" customWidth="1"/>
    <col min="8" max="8" width="4.83203125" style="38" bestFit="1" customWidth="1"/>
    <col min="9" max="9" width="4.6640625" bestFit="1" customWidth="1"/>
    <col min="10" max="10" width="14.33203125" bestFit="1" customWidth="1"/>
    <col min="11" max="14" width="4.6640625" bestFit="1" customWidth="1"/>
    <col min="15" max="15" width="7.6640625" style="38" customWidth="1"/>
    <col min="16" max="16" width="10.6640625" bestFit="1" customWidth="1"/>
    <col min="17" max="17" width="24.6640625" style="41" bestFit="1" customWidth="1"/>
  </cols>
  <sheetData>
    <row r="1" spans="1:18">
      <c r="A1" t="s">
        <v>372</v>
      </c>
    </row>
    <row r="2" spans="1:18" s="42" customFormat="1" ht="136.5">
      <c r="A2" s="124" t="s">
        <v>27</v>
      </c>
      <c r="B2" s="220" t="s">
        <v>28</v>
      </c>
      <c r="C2" s="220" t="s">
        <v>29</v>
      </c>
      <c r="D2" s="220" t="s">
        <v>30</v>
      </c>
      <c r="E2" s="221" t="s">
        <v>72</v>
      </c>
      <c r="F2" s="222" t="s">
        <v>73</v>
      </c>
      <c r="G2" s="222" t="s">
        <v>74</v>
      </c>
      <c r="H2" s="242" t="s">
        <v>109</v>
      </c>
      <c r="I2" s="220" t="s">
        <v>97</v>
      </c>
      <c r="J2" s="220" t="s">
        <v>99</v>
      </c>
      <c r="K2" s="15" t="s">
        <v>172</v>
      </c>
      <c r="L2" s="15" t="s">
        <v>173</v>
      </c>
      <c r="M2" s="15" t="s">
        <v>241</v>
      </c>
      <c r="N2" s="15" t="s">
        <v>115</v>
      </c>
      <c r="O2" s="68" t="s">
        <v>236</v>
      </c>
      <c r="P2" s="15" t="s">
        <v>39</v>
      </c>
      <c r="Q2" s="16" t="s">
        <v>14</v>
      </c>
    </row>
    <row r="3" spans="1:18">
      <c r="A3" s="90"/>
      <c r="B3" s="91" t="s">
        <v>79</v>
      </c>
      <c r="C3" s="91" t="s">
        <v>174</v>
      </c>
      <c r="D3" s="91" t="s">
        <v>175</v>
      </c>
      <c r="E3" s="236" t="s">
        <v>80</v>
      </c>
      <c r="F3" s="237" t="s">
        <v>42</v>
      </c>
      <c r="G3" s="238">
        <v>770</v>
      </c>
      <c r="H3" s="239">
        <f t="shared" ref="H3:H23" si="0">G3/25.4</f>
        <v>30.314960629921263</v>
      </c>
      <c r="I3" s="232" t="s">
        <v>98</v>
      </c>
      <c r="J3" s="230" t="s">
        <v>101</v>
      </c>
      <c r="K3" s="94" t="s">
        <v>94</v>
      </c>
      <c r="L3" s="243">
        <v>14</v>
      </c>
      <c r="M3" s="94" t="s">
        <v>94</v>
      </c>
      <c r="N3" s="94" t="s">
        <v>94</v>
      </c>
      <c r="O3" s="93" t="s">
        <v>42</v>
      </c>
      <c r="P3" s="177">
        <v>1922.69</v>
      </c>
      <c r="Q3" s="96" t="s">
        <v>246</v>
      </c>
    </row>
    <row r="4" spans="1:18">
      <c r="A4" s="90"/>
      <c r="B4" s="91" t="s">
        <v>79</v>
      </c>
      <c r="C4" s="91" t="s">
        <v>174</v>
      </c>
      <c r="D4" s="91" t="s">
        <v>176</v>
      </c>
      <c r="E4" s="236" t="s">
        <v>81</v>
      </c>
      <c r="F4" s="237">
        <v>2415</v>
      </c>
      <c r="G4" s="238">
        <v>940</v>
      </c>
      <c r="H4" s="239">
        <f t="shared" si="0"/>
        <v>37.007874015748037</v>
      </c>
      <c r="I4" s="232" t="s">
        <v>98</v>
      </c>
      <c r="J4" s="230" t="s">
        <v>101</v>
      </c>
      <c r="K4" s="94" t="s">
        <v>94</v>
      </c>
      <c r="L4" s="243">
        <v>13</v>
      </c>
      <c r="M4" s="94" t="s">
        <v>94</v>
      </c>
      <c r="N4" s="94" t="s">
        <v>94</v>
      </c>
      <c r="O4" s="93" t="s">
        <v>42</v>
      </c>
      <c r="P4" s="177">
        <v>2091.5700000000002</v>
      </c>
      <c r="Q4" s="97" t="s">
        <v>246</v>
      </c>
    </row>
    <row r="5" spans="1:18">
      <c r="A5" s="90"/>
      <c r="B5" s="91" t="s">
        <v>79</v>
      </c>
      <c r="C5" s="91" t="s">
        <v>170</v>
      </c>
      <c r="D5" s="91" t="s">
        <v>177</v>
      </c>
      <c r="E5" s="236" t="s">
        <v>80</v>
      </c>
      <c r="F5" s="237" t="s">
        <v>42</v>
      </c>
      <c r="G5" s="238">
        <v>1080</v>
      </c>
      <c r="H5" s="239">
        <f t="shared" si="0"/>
        <v>42.519685039370081</v>
      </c>
      <c r="I5" s="232" t="s">
        <v>98</v>
      </c>
      <c r="J5" s="230" t="s">
        <v>101</v>
      </c>
      <c r="K5" s="94" t="s">
        <v>94</v>
      </c>
      <c r="L5" s="243">
        <v>17</v>
      </c>
      <c r="M5" s="94" t="s">
        <v>94</v>
      </c>
      <c r="N5" s="94" t="s">
        <v>94</v>
      </c>
      <c r="O5" s="93" t="s">
        <v>42</v>
      </c>
      <c r="P5" s="177">
        <v>2684.83</v>
      </c>
      <c r="Q5" s="97" t="s">
        <v>246</v>
      </c>
    </row>
    <row r="6" spans="1:18">
      <c r="A6" s="90"/>
      <c r="B6" s="91" t="s">
        <v>79</v>
      </c>
      <c r="C6" s="91" t="s">
        <v>170</v>
      </c>
      <c r="D6" s="91" t="s">
        <v>178</v>
      </c>
      <c r="E6" s="236" t="s">
        <v>81</v>
      </c>
      <c r="F6" s="237" t="s">
        <v>42</v>
      </c>
      <c r="G6" s="238">
        <v>1160</v>
      </c>
      <c r="H6" s="239">
        <f t="shared" si="0"/>
        <v>45.669291338582681</v>
      </c>
      <c r="I6" s="233" t="s">
        <v>98</v>
      </c>
      <c r="J6" s="230" t="s">
        <v>101</v>
      </c>
      <c r="K6" s="94" t="s">
        <v>94</v>
      </c>
      <c r="L6" s="243">
        <v>15</v>
      </c>
      <c r="M6" s="94" t="s">
        <v>94</v>
      </c>
      <c r="N6" s="94" t="s">
        <v>94</v>
      </c>
      <c r="O6" s="93" t="s">
        <v>42</v>
      </c>
      <c r="P6" s="177">
        <v>3057.25</v>
      </c>
      <c r="Q6" s="97" t="s">
        <v>246</v>
      </c>
    </row>
    <row r="7" spans="1:18">
      <c r="A7" s="90"/>
      <c r="B7" s="91" t="s">
        <v>79</v>
      </c>
      <c r="C7" s="91" t="s">
        <v>170</v>
      </c>
      <c r="D7" s="91" t="s">
        <v>171</v>
      </c>
      <c r="E7" s="236" t="s">
        <v>81</v>
      </c>
      <c r="F7" s="237" t="s">
        <v>42</v>
      </c>
      <c r="G7" s="238">
        <v>900</v>
      </c>
      <c r="H7" s="239">
        <f t="shared" si="0"/>
        <v>35.433070866141733</v>
      </c>
      <c r="I7" s="232" t="s">
        <v>98</v>
      </c>
      <c r="J7" s="230" t="s">
        <v>101</v>
      </c>
      <c r="K7" s="94" t="s">
        <v>94</v>
      </c>
      <c r="L7" s="243">
        <v>15</v>
      </c>
      <c r="M7" s="94" t="s">
        <v>94</v>
      </c>
      <c r="N7" s="94" t="s">
        <v>94</v>
      </c>
      <c r="O7" s="93" t="s">
        <v>42</v>
      </c>
      <c r="P7" s="177">
        <v>2702.15</v>
      </c>
      <c r="Q7" s="97" t="s">
        <v>246</v>
      </c>
    </row>
    <row r="8" spans="1:18">
      <c r="A8" s="18">
        <v>1</v>
      </c>
      <c r="B8" s="75" t="s">
        <v>137</v>
      </c>
      <c r="C8" s="75" t="s">
        <v>106</v>
      </c>
      <c r="D8" s="75" t="s">
        <v>238</v>
      </c>
      <c r="E8" s="214" t="s">
        <v>80</v>
      </c>
      <c r="F8" s="240" t="s">
        <v>42</v>
      </c>
      <c r="G8" s="218">
        <v>1000</v>
      </c>
      <c r="H8" s="241">
        <f t="shared" si="0"/>
        <v>39.370078740157481</v>
      </c>
      <c r="I8" s="234" t="s">
        <v>98</v>
      </c>
      <c r="J8" s="231" t="s">
        <v>100</v>
      </c>
      <c r="K8" s="22" t="s">
        <v>116</v>
      </c>
      <c r="L8" s="219" t="s">
        <v>42</v>
      </c>
      <c r="M8" s="22" t="s">
        <v>116</v>
      </c>
      <c r="N8" s="22" t="s">
        <v>94</v>
      </c>
      <c r="O8" s="25" t="s">
        <v>42</v>
      </c>
      <c r="P8" s="23">
        <v>350</v>
      </c>
      <c r="Q8" s="65" t="s">
        <v>249</v>
      </c>
      <c r="R8" t="s">
        <v>563</v>
      </c>
    </row>
    <row r="9" spans="1:18">
      <c r="A9" s="18">
        <v>2</v>
      </c>
      <c r="B9" s="75" t="s">
        <v>137</v>
      </c>
      <c r="C9" s="75" t="s">
        <v>106</v>
      </c>
      <c r="D9" s="75" t="s">
        <v>233</v>
      </c>
      <c r="E9" s="214" t="s">
        <v>80</v>
      </c>
      <c r="F9" s="240">
        <v>1400</v>
      </c>
      <c r="G9" s="218">
        <v>1050</v>
      </c>
      <c r="H9" s="241">
        <f t="shared" si="0"/>
        <v>41.338582677165356</v>
      </c>
      <c r="I9" s="234" t="s">
        <v>98</v>
      </c>
      <c r="J9" s="231" t="s">
        <v>100</v>
      </c>
      <c r="K9" s="22" t="s">
        <v>116</v>
      </c>
      <c r="L9" s="219">
        <v>17</v>
      </c>
      <c r="M9" s="22" t="s">
        <v>94</v>
      </c>
      <c r="N9" s="22" t="s">
        <v>94</v>
      </c>
      <c r="O9" s="25" t="s">
        <v>42</v>
      </c>
      <c r="P9" s="23">
        <v>349</v>
      </c>
      <c r="Q9" s="65" t="s">
        <v>249</v>
      </c>
    </row>
    <row r="10" spans="1:18" s="99" customFormat="1">
      <c r="A10" s="90"/>
      <c r="B10" s="91" t="s">
        <v>137</v>
      </c>
      <c r="C10" s="91" t="s">
        <v>106</v>
      </c>
      <c r="D10" s="91" t="s">
        <v>232</v>
      </c>
      <c r="E10" s="236" t="s">
        <v>80</v>
      </c>
      <c r="F10" s="237" t="s">
        <v>42</v>
      </c>
      <c r="G10" s="254">
        <v>680</v>
      </c>
      <c r="H10" s="239">
        <f t="shared" si="0"/>
        <v>26.771653543307089</v>
      </c>
      <c r="I10" s="232" t="s">
        <v>98</v>
      </c>
      <c r="J10" s="230" t="s">
        <v>100</v>
      </c>
      <c r="K10" s="94" t="s">
        <v>116</v>
      </c>
      <c r="L10" s="243" t="s">
        <v>42</v>
      </c>
      <c r="M10" s="94" t="s">
        <v>94</v>
      </c>
      <c r="N10" s="94" t="s">
        <v>94</v>
      </c>
      <c r="O10" s="93" t="s">
        <v>42</v>
      </c>
      <c r="P10" s="95">
        <v>195</v>
      </c>
      <c r="Q10" s="253" t="s">
        <v>249</v>
      </c>
    </row>
    <row r="11" spans="1:18">
      <c r="A11" s="18">
        <v>3</v>
      </c>
      <c r="B11" s="75" t="s">
        <v>78</v>
      </c>
      <c r="C11" s="75" t="s">
        <v>106</v>
      </c>
      <c r="D11" s="75" t="s">
        <v>105</v>
      </c>
      <c r="E11" s="214" t="s">
        <v>80</v>
      </c>
      <c r="F11" s="240">
        <v>720</v>
      </c>
      <c r="G11" s="218">
        <v>650</v>
      </c>
      <c r="H11" s="241">
        <f t="shared" si="0"/>
        <v>25.590551181102363</v>
      </c>
      <c r="I11" s="235" t="s">
        <v>98</v>
      </c>
      <c r="J11" s="231" t="s">
        <v>250</v>
      </c>
      <c r="K11" s="22" t="s">
        <v>116</v>
      </c>
      <c r="L11" s="219" t="s">
        <v>42</v>
      </c>
      <c r="M11" s="22" t="s">
        <v>116</v>
      </c>
      <c r="N11" s="22" t="s">
        <v>94</v>
      </c>
      <c r="O11" s="25" t="s">
        <v>253</v>
      </c>
      <c r="P11" s="23">
        <v>549</v>
      </c>
      <c r="Q11" s="81" t="s">
        <v>247</v>
      </c>
    </row>
    <row r="12" spans="1:18">
      <c r="A12" s="18">
        <v>4</v>
      </c>
      <c r="B12" s="75" t="s">
        <v>78</v>
      </c>
      <c r="C12" s="75" t="s">
        <v>106</v>
      </c>
      <c r="D12" s="75" t="s">
        <v>108</v>
      </c>
      <c r="E12" s="214" t="s">
        <v>80</v>
      </c>
      <c r="F12" s="240">
        <v>780</v>
      </c>
      <c r="G12" s="218">
        <v>950</v>
      </c>
      <c r="H12" s="241">
        <f t="shared" si="0"/>
        <v>37.401574803149607</v>
      </c>
      <c r="I12" s="235" t="s">
        <v>98</v>
      </c>
      <c r="J12" s="231" t="s">
        <v>250</v>
      </c>
      <c r="K12" s="22" t="s">
        <v>116</v>
      </c>
      <c r="L12" s="219" t="s">
        <v>42</v>
      </c>
      <c r="M12" s="22" t="s">
        <v>116</v>
      </c>
      <c r="N12" s="22" t="s">
        <v>94</v>
      </c>
      <c r="O12" s="25" t="s">
        <v>255</v>
      </c>
      <c r="P12" s="23">
        <v>590</v>
      </c>
      <c r="Q12" s="81" t="s">
        <v>247</v>
      </c>
    </row>
    <row r="13" spans="1:18" s="99" customFormat="1">
      <c r="A13" s="90"/>
      <c r="B13" s="91" t="s">
        <v>78</v>
      </c>
      <c r="C13" s="91" t="s">
        <v>104</v>
      </c>
      <c r="D13" s="91" t="s">
        <v>95</v>
      </c>
      <c r="E13" s="236" t="s">
        <v>81</v>
      </c>
      <c r="F13" s="237">
        <v>600</v>
      </c>
      <c r="G13" s="254">
        <v>650</v>
      </c>
      <c r="H13" s="239">
        <f t="shared" si="0"/>
        <v>25.590551181102363</v>
      </c>
      <c r="I13" s="233" t="s">
        <v>98</v>
      </c>
      <c r="J13" s="230" t="s">
        <v>250</v>
      </c>
      <c r="K13" s="94" t="s">
        <v>116</v>
      </c>
      <c r="L13" s="243" t="s">
        <v>42</v>
      </c>
      <c r="M13" s="94" t="s">
        <v>116</v>
      </c>
      <c r="N13" s="94" t="s">
        <v>116</v>
      </c>
      <c r="O13" s="93" t="s">
        <v>42</v>
      </c>
      <c r="P13" s="95">
        <v>385</v>
      </c>
      <c r="Q13" s="97" t="s">
        <v>248</v>
      </c>
    </row>
    <row r="14" spans="1:18">
      <c r="A14" s="18">
        <v>5</v>
      </c>
      <c r="B14" s="75" t="s">
        <v>78</v>
      </c>
      <c r="C14" s="75" t="s">
        <v>104</v>
      </c>
      <c r="D14" s="75" t="s">
        <v>96</v>
      </c>
      <c r="E14" s="214" t="s">
        <v>81</v>
      </c>
      <c r="F14" s="240">
        <v>655</v>
      </c>
      <c r="G14" s="218">
        <v>950</v>
      </c>
      <c r="H14" s="241">
        <f t="shared" si="0"/>
        <v>37.401574803149607</v>
      </c>
      <c r="I14" s="235" t="s">
        <v>98</v>
      </c>
      <c r="J14" s="231" t="s">
        <v>250</v>
      </c>
      <c r="K14" s="22" t="s">
        <v>116</v>
      </c>
      <c r="L14" s="219" t="s">
        <v>42</v>
      </c>
      <c r="M14" s="22" t="s">
        <v>116</v>
      </c>
      <c r="N14" s="22" t="s">
        <v>116</v>
      </c>
      <c r="O14" s="25" t="s">
        <v>42</v>
      </c>
      <c r="P14" s="23">
        <v>435</v>
      </c>
      <c r="Q14" s="81" t="s">
        <v>248</v>
      </c>
    </row>
    <row r="15" spans="1:18">
      <c r="A15" s="90"/>
      <c r="B15" s="91" t="s">
        <v>78</v>
      </c>
      <c r="C15" s="91" t="s">
        <v>82</v>
      </c>
      <c r="D15" s="91" t="s">
        <v>107</v>
      </c>
      <c r="E15" s="236" t="s">
        <v>81</v>
      </c>
      <c r="F15" s="237">
        <v>1230</v>
      </c>
      <c r="G15" s="238">
        <v>800</v>
      </c>
      <c r="H15" s="239">
        <f t="shared" si="0"/>
        <v>31.496062992125985</v>
      </c>
      <c r="I15" s="233" t="s">
        <v>98</v>
      </c>
      <c r="J15" s="230" t="s">
        <v>250</v>
      </c>
      <c r="K15" s="94" t="s">
        <v>116</v>
      </c>
      <c r="L15" s="243" t="s">
        <v>42</v>
      </c>
      <c r="M15" s="94" t="s">
        <v>94</v>
      </c>
      <c r="N15" s="94" t="s">
        <v>94</v>
      </c>
      <c r="O15" s="93" t="s">
        <v>42</v>
      </c>
      <c r="P15" s="177">
        <v>1100</v>
      </c>
      <c r="Q15" s="97" t="s">
        <v>252</v>
      </c>
    </row>
    <row r="16" spans="1:18">
      <c r="A16" s="90"/>
      <c r="B16" s="91" t="s">
        <v>68</v>
      </c>
      <c r="C16" s="91" t="s">
        <v>77</v>
      </c>
      <c r="D16" s="91" t="s">
        <v>76</v>
      </c>
      <c r="E16" s="236" t="s">
        <v>81</v>
      </c>
      <c r="F16" s="237">
        <v>4200</v>
      </c>
      <c r="G16" s="238">
        <v>1000</v>
      </c>
      <c r="H16" s="239">
        <f t="shared" si="0"/>
        <v>39.370078740157481</v>
      </c>
      <c r="I16" s="233" t="s">
        <v>98</v>
      </c>
      <c r="J16" s="230" t="s">
        <v>100</v>
      </c>
      <c r="K16" s="94" t="s">
        <v>94</v>
      </c>
      <c r="L16" s="243">
        <v>15</v>
      </c>
      <c r="M16" s="94" t="s">
        <v>94</v>
      </c>
      <c r="N16" s="94" t="s">
        <v>94</v>
      </c>
      <c r="O16" s="93">
        <v>5.8</v>
      </c>
      <c r="P16" s="177">
        <v>3939</v>
      </c>
      <c r="Q16" s="97" t="s">
        <v>245</v>
      </c>
    </row>
    <row r="17" spans="1:17">
      <c r="A17" s="90"/>
      <c r="B17" s="91" t="s">
        <v>68</v>
      </c>
      <c r="C17" s="91" t="s">
        <v>77</v>
      </c>
      <c r="D17" s="91" t="s">
        <v>75</v>
      </c>
      <c r="E17" s="236" t="s">
        <v>80</v>
      </c>
      <c r="F17" s="237">
        <v>3700</v>
      </c>
      <c r="G17" s="238">
        <v>800</v>
      </c>
      <c r="H17" s="239">
        <f t="shared" si="0"/>
        <v>31.496062992125985</v>
      </c>
      <c r="I17" s="233" t="s">
        <v>98</v>
      </c>
      <c r="J17" s="230" t="s">
        <v>100</v>
      </c>
      <c r="K17" s="94" t="s">
        <v>94</v>
      </c>
      <c r="L17" s="243">
        <v>15</v>
      </c>
      <c r="M17" s="94" t="s">
        <v>116</v>
      </c>
      <c r="N17" s="94" t="s">
        <v>94</v>
      </c>
      <c r="O17" s="93">
        <v>4.3</v>
      </c>
      <c r="P17" s="177">
        <v>2999</v>
      </c>
      <c r="Q17" s="97" t="s">
        <v>245</v>
      </c>
    </row>
    <row r="18" spans="1:17">
      <c r="A18" s="18">
        <v>6</v>
      </c>
      <c r="B18" s="75" t="s">
        <v>141</v>
      </c>
      <c r="C18" s="75" t="s">
        <v>106</v>
      </c>
      <c r="D18" s="75" t="s">
        <v>240</v>
      </c>
      <c r="E18" s="214" t="s">
        <v>80</v>
      </c>
      <c r="F18" s="240">
        <v>1020</v>
      </c>
      <c r="G18" s="218">
        <v>850</v>
      </c>
      <c r="H18" s="241">
        <f t="shared" si="0"/>
        <v>33.464566929133859</v>
      </c>
      <c r="I18" s="234" t="s">
        <v>98</v>
      </c>
      <c r="J18" s="231" t="s">
        <v>100</v>
      </c>
      <c r="K18" s="22" t="s">
        <v>116</v>
      </c>
      <c r="L18" s="219">
        <v>15</v>
      </c>
      <c r="M18" s="22" t="s">
        <v>94</v>
      </c>
      <c r="N18" s="22" t="s">
        <v>94</v>
      </c>
      <c r="O18" s="25">
        <v>3</v>
      </c>
      <c r="P18" s="23">
        <v>339</v>
      </c>
      <c r="Q18" s="81" t="s">
        <v>565</v>
      </c>
    </row>
    <row r="19" spans="1:17">
      <c r="A19" s="18">
        <v>7</v>
      </c>
      <c r="B19" s="75" t="s">
        <v>141</v>
      </c>
      <c r="C19" s="75" t="s">
        <v>106</v>
      </c>
      <c r="D19" s="75" t="s">
        <v>235</v>
      </c>
      <c r="E19" s="214" t="s">
        <v>80</v>
      </c>
      <c r="F19" s="240">
        <v>1050</v>
      </c>
      <c r="G19" s="218">
        <v>960</v>
      </c>
      <c r="H19" s="241">
        <f t="shared" si="0"/>
        <v>37.795275590551185</v>
      </c>
      <c r="I19" s="234" t="s">
        <v>98</v>
      </c>
      <c r="J19" s="231" t="s">
        <v>100</v>
      </c>
      <c r="K19" s="22" t="s">
        <v>116</v>
      </c>
      <c r="L19" s="219">
        <v>15</v>
      </c>
      <c r="M19" s="22" t="s">
        <v>94</v>
      </c>
      <c r="N19" s="22" t="s">
        <v>94</v>
      </c>
      <c r="O19" s="25">
        <v>3.5</v>
      </c>
      <c r="P19" s="23">
        <v>339</v>
      </c>
      <c r="Q19" s="81" t="s">
        <v>251</v>
      </c>
    </row>
    <row r="20" spans="1:17">
      <c r="A20" s="18">
        <v>8</v>
      </c>
      <c r="B20" s="75" t="s">
        <v>141</v>
      </c>
      <c r="C20" s="75" t="s">
        <v>104</v>
      </c>
      <c r="D20" s="75" t="s">
        <v>237</v>
      </c>
      <c r="E20" s="214" t="s">
        <v>81</v>
      </c>
      <c r="F20" s="240">
        <v>1950</v>
      </c>
      <c r="G20" s="218">
        <v>1020</v>
      </c>
      <c r="H20" s="241">
        <f t="shared" si="0"/>
        <v>40.15748031496063</v>
      </c>
      <c r="I20" s="234" t="s">
        <v>98</v>
      </c>
      <c r="J20" s="231" t="s">
        <v>100</v>
      </c>
      <c r="K20" s="22" t="s">
        <v>116</v>
      </c>
      <c r="L20" s="219">
        <v>15</v>
      </c>
      <c r="M20" s="22" t="s">
        <v>94</v>
      </c>
      <c r="N20" s="22" t="s">
        <v>94</v>
      </c>
      <c r="O20" s="25" t="s">
        <v>254</v>
      </c>
      <c r="P20" s="23">
        <v>619</v>
      </c>
      <c r="Q20" s="81" t="s">
        <v>251</v>
      </c>
    </row>
    <row r="21" spans="1:17" s="99" customFormat="1">
      <c r="A21" s="90"/>
      <c r="B21" s="91" t="s">
        <v>141</v>
      </c>
      <c r="C21" s="91" t="s">
        <v>106</v>
      </c>
      <c r="D21" s="91" t="s">
        <v>197</v>
      </c>
      <c r="E21" s="236" t="s">
        <v>80</v>
      </c>
      <c r="F21" s="237">
        <v>600</v>
      </c>
      <c r="G21" s="254">
        <v>680</v>
      </c>
      <c r="H21" s="239">
        <f t="shared" si="0"/>
        <v>26.771653543307089</v>
      </c>
      <c r="I21" s="232" t="s">
        <v>98</v>
      </c>
      <c r="J21" s="230" t="s">
        <v>100</v>
      </c>
      <c r="K21" s="94" t="s">
        <v>116</v>
      </c>
      <c r="L21" s="243">
        <v>13</v>
      </c>
      <c r="M21" s="94" t="s">
        <v>94</v>
      </c>
      <c r="N21" s="94" t="s">
        <v>94</v>
      </c>
      <c r="O21" s="93" t="s">
        <v>42</v>
      </c>
      <c r="P21" s="95">
        <v>169.99</v>
      </c>
      <c r="Q21" s="97" t="s">
        <v>251</v>
      </c>
    </row>
    <row r="22" spans="1:17" s="99" customFormat="1">
      <c r="A22" s="90"/>
      <c r="B22" s="91" t="s">
        <v>141</v>
      </c>
      <c r="C22" s="91" t="s">
        <v>106</v>
      </c>
      <c r="D22" s="91" t="s">
        <v>239</v>
      </c>
      <c r="E22" s="236" t="s">
        <v>80</v>
      </c>
      <c r="F22" s="237">
        <v>600</v>
      </c>
      <c r="G22" s="254">
        <v>690</v>
      </c>
      <c r="H22" s="239">
        <f t="shared" si="0"/>
        <v>27.165354330708663</v>
      </c>
      <c r="I22" s="232" t="s">
        <v>98</v>
      </c>
      <c r="J22" s="230" t="s">
        <v>100</v>
      </c>
      <c r="K22" s="94" t="s">
        <v>116</v>
      </c>
      <c r="L22" s="243">
        <v>13</v>
      </c>
      <c r="M22" s="94" t="s">
        <v>94</v>
      </c>
      <c r="N22" s="94" t="s">
        <v>94</v>
      </c>
      <c r="O22" s="93" t="s">
        <v>42</v>
      </c>
      <c r="P22" s="95">
        <v>199</v>
      </c>
      <c r="Q22" s="97" t="s">
        <v>251</v>
      </c>
    </row>
    <row r="23" spans="1:17">
      <c r="A23" s="18">
        <v>9</v>
      </c>
      <c r="B23" s="75" t="s">
        <v>141</v>
      </c>
      <c r="C23" s="75" t="s">
        <v>104</v>
      </c>
      <c r="D23" s="75" t="s">
        <v>234</v>
      </c>
      <c r="E23" s="214" t="s">
        <v>81</v>
      </c>
      <c r="F23" s="240">
        <v>1500</v>
      </c>
      <c r="G23" s="218">
        <v>1020</v>
      </c>
      <c r="H23" s="241">
        <f t="shared" si="0"/>
        <v>40.15748031496063</v>
      </c>
      <c r="I23" s="234" t="s">
        <v>98</v>
      </c>
      <c r="J23" s="231" t="s">
        <v>100</v>
      </c>
      <c r="K23" s="22" t="s">
        <v>116</v>
      </c>
      <c r="L23" s="219">
        <v>15</v>
      </c>
      <c r="M23" s="22" t="s">
        <v>116</v>
      </c>
      <c r="N23" s="22" t="s">
        <v>94</v>
      </c>
      <c r="O23" s="25">
        <v>8</v>
      </c>
      <c r="P23" s="23">
        <v>399</v>
      </c>
      <c r="Q23" s="65" t="s">
        <v>251</v>
      </c>
    </row>
    <row r="24" spans="1:17" s="47" customFormat="1">
      <c r="E24" s="49" t="s">
        <v>242</v>
      </c>
      <c r="F24" s="76">
        <f>MIN(F3:F23)</f>
        <v>600</v>
      </c>
      <c r="G24" s="76">
        <f>MIN(G3:G23)</f>
        <v>650</v>
      </c>
      <c r="H24" s="76">
        <f>MIN(H3:H23)</f>
        <v>25.590551181102363</v>
      </c>
      <c r="I24" s="76"/>
      <c r="J24" s="76"/>
      <c r="K24" s="76"/>
      <c r="L24" s="76">
        <f t="shared" ref="L24" si="1">MIN(L3:L23)</f>
        <v>13</v>
      </c>
      <c r="O24" s="69"/>
      <c r="P24" s="77">
        <f>MIN(P8:P14,P18:P23)</f>
        <v>169.99</v>
      </c>
      <c r="Q24" s="48">
        <f ca="1">NOW()</f>
        <v>41738.554235995369</v>
      </c>
    </row>
    <row r="25" spans="1:17" s="47" customFormat="1">
      <c r="E25" s="80" t="s">
        <v>256</v>
      </c>
      <c r="F25" s="76">
        <f>MAX(F3:F23)</f>
        <v>4200</v>
      </c>
      <c r="G25" s="76">
        <f>MAX(G3:G23)</f>
        <v>1160</v>
      </c>
      <c r="H25" s="76">
        <f>MAX(H3:H23)</f>
        <v>45.669291338582681</v>
      </c>
      <c r="I25" s="76"/>
      <c r="J25" s="76"/>
      <c r="K25" s="76"/>
      <c r="L25" s="76">
        <f t="shared" ref="L25" si="2">MAX(L3:L23)</f>
        <v>17</v>
      </c>
      <c r="O25" s="69"/>
      <c r="P25" s="78">
        <f>MAX(P8:P14,P18:P23)</f>
        <v>619</v>
      </c>
      <c r="Q25" s="79"/>
    </row>
    <row r="26" spans="1:17" s="49" customFormat="1">
      <c r="A26" s="82"/>
      <c r="B26" s="82"/>
      <c r="C26" s="246"/>
      <c r="D26" s="82"/>
      <c r="E26" s="44" t="s">
        <v>257</v>
      </c>
      <c r="F26" s="83">
        <f>AVERAGE(Frame_Mass)</f>
        <v>1494.6666666666667</v>
      </c>
      <c r="G26" s="46">
        <f>AVERAGE(G3:G23)</f>
        <v>885.71428571428567</v>
      </c>
      <c r="H26" s="46">
        <f>AVERAGE(H3:H23)</f>
        <v>34.870641169853769</v>
      </c>
      <c r="I26" s="46"/>
      <c r="J26" s="46"/>
      <c r="K26" s="46"/>
      <c r="L26" s="46">
        <f t="shared" ref="L26" si="3">AVERAGE(L3:L23)</f>
        <v>14.785714285714286</v>
      </c>
      <c r="M26" s="46"/>
      <c r="N26" s="46"/>
      <c r="O26" s="52"/>
      <c r="P26" s="84">
        <f>AVERAGE(P8:P14,P18:P23)</f>
        <v>378.30692307692306</v>
      </c>
      <c r="Q26" s="85"/>
    </row>
    <row r="28" spans="1:17">
      <c r="B28" s="99" t="s">
        <v>548</v>
      </c>
    </row>
    <row r="29" spans="1:17">
      <c r="B29" s="250" t="s">
        <v>313</v>
      </c>
    </row>
    <row r="30" spans="1:17">
      <c r="B30" s="252" t="s">
        <v>547</v>
      </c>
    </row>
  </sheetData>
  <sortState ref="B2:R22">
    <sortCondition ref="B2:B22"/>
    <sortCondition ref="C2:C22"/>
    <sortCondition ref="D2:D22"/>
  </sortState>
  <phoneticPr fontId="9" type="noConversion"/>
  <hyperlinks>
    <hyperlink ref="Q16" r:id="rId1"/>
    <hyperlink ref="Q6" r:id="rId2"/>
    <hyperlink ref="Q17" r:id="rId3"/>
    <hyperlink ref="Q7" r:id="rId4"/>
    <hyperlink ref="Q5" r:id="rId5"/>
    <hyperlink ref="Q4" r:id="rId6"/>
    <hyperlink ref="Q3" r:id="rId7"/>
    <hyperlink ref="Q12" r:id="rId8"/>
    <hyperlink ref="Q11" r:id="rId9"/>
    <hyperlink ref="Q14" r:id="rId10"/>
    <hyperlink ref="Q13" r:id="rId11"/>
    <hyperlink ref="Q9" r:id="rId12"/>
    <hyperlink ref="Q8" r:id="rId13"/>
    <hyperlink ref="Q10" r:id="rId14"/>
    <hyperlink ref="Q18" r:id="rId15" display="www.myrcmodel.com"/>
    <hyperlink ref="Q19" r:id="rId16"/>
    <hyperlink ref="Q20" r:id="rId17"/>
    <hyperlink ref="Q21" r:id="rId18"/>
    <hyperlink ref="Q22" r:id="rId19"/>
    <hyperlink ref="Q23" r:id="rId20"/>
    <hyperlink ref="Q15" r:id="rId21"/>
  </hyperlinks>
  <pageMargins left="0.7" right="0.7" top="0.75" bottom="0.75" header="0.3" footer="0.3"/>
  <pageSetup scale="77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view="pageLayout" workbookViewId="0">
      <selection activeCell="A12" sqref="A12"/>
    </sheetView>
  </sheetViews>
  <sheetFormatPr baseColWidth="10" defaultColWidth="8.83203125" defaultRowHeight="15" x14ac:dyDescent="0"/>
  <cols>
    <col min="1" max="1" width="5" bestFit="1" customWidth="1"/>
    <col min="2" max="2" width="10.1640625" bestFit="1" customWidth="1"/>
    <col min="3" max="3" width="16.5" bestFit="1" customWidth="1"/>
    <col min="4" max="5" width="4.6640625" bestFit="1" customWidth="1"/>
    <col min="6" max="6" width="4.6640625" style="26" bestFit="1" customWidth="1"/>
    <col min="7" max="7" width="4.6640625" bestFit="1" customWidth="1"/>
    <col min="8" max="8" width="4.83203125" style="26" bestFit="1" customWidth="1"/>
    <col min="9" max="9" width="8.33203125" bestFit="1" customWidth="1"/>
    <col min="10" max="10" width="10.5" bestFit="1" customWidth="1"/>
    <col min="11" max="11" width="35.1640625" style="27" bestFit="1" customWidth="1"/>
  </cols>
  <sheetData>
    <row r="1" spans="1:11">
      <c r="A1" t="s">
        <v>371</v>
      </c>
    </row>
    <row r="2" spans="1:11" s="42" customFormat="1" ht="99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135</v>
      </c>
      <c r="G2" s="2" t="s">
        <v>112</v>
      </c>
      <c r="H2" s="14" t="s">
        <v>149</v>
      </c>
      <c r="I2" s="15" t="s">
        <v>102</v>
      </c>
      <c r="J2" s="15" t="s">
        <v>39</v>
      </c>
      <c r="K2" s="16" t="s">
        <v>14</v>
      </c>
    </row>
    <row r="3" spans="1:11">
      <c r="A3" s="18">
        <v>1</v>
      </c>
      <c r="B3" s="75" t="s">
        <v>86</v>
      </c>
      <c r="C3" s="75" t="s">
        <v>92</v>
      </c>
      <c r="D3" s="20" t="s">
        <v>42</v>
      </c>
      <c r="E3" s="24" t="s">
        <v>116</v>
      </c>
      <c r="F3" s="20" t="s">
        <v>94</v>
      </c>
      <c r="G3" s="22" t="s">
        <v>42</v>
      </c>
      <c r="H3" s="20" t="s">
        <v>42</v>
      </c>
      <c r="I3" s="22">
        <v>0</v>
      </c>
      <c r="J3" s="23">
        <v>239.98</v>
      </c>
      <c r="K3" s="86" t="s">
        <v>363</v>
      </c>
    </row>
    <row r="4" spans="1:11">
      <c r="A4" s="107">
        <v>2</v>
      </c>
      <c r="B4" s="108" t="s">
        <v>86</v>
      </c>
      <c r="C4" s="108" t="s">
        <v>91</v>
      </c>
      <c r="D4" s="109" t="s">
        <v>42</v>
      </c>
      <c r="E4" s="110" t="s">
        <v>116</v>
      </c>
      <c r="F4" s="109" t="s">
        <v>94</v>
      </c>
      <c r="G4" s="111" t="s">
        <v>42</v>
      </c>
      <c r="H4" s="109" t="s">
        <v>42</v>
      </c>
      <c r="I4" s="111">
        <v>38</v>
      </c>
      <c r="J4" s="112">
        <v>199.99</v>
      </c>
      <c r="K4" s="178" t="s">
        <v>363</v>
      </c>
    </row>
    <row r="5" spans="1:11" s="99" customFormat="1">
      <c r="A5" s="90"/>
      <c r="B5" s="91" t="s">
        <v>68</v>
      </c>
      <c r="C5" s="91" t="s">
        <v>85</v>
      </c>
      <c r="D5" s="92" t="s">
        <v>94</v>
      </c>
      <c r="E5" s="255" t="s">
        <v>94</v>
      </c>
      <c r="F5" s="92" t="s">
        <v>94</v>
      </c>
      <c r="G5" s="94" t="s">
        <v>94</v>
      </c>
      <c r="H5" s="256" t="s">
        <v>148</v>
      </c>
      <c r="I5" s="94">
        <v>224</v>
      </c>
      <c r="J5" s="177">
        <v>1299</v>
      </c>
      <c r="K5" s="257" t="s">
        <v>90</v>
      </c>
    </row>
    <row r="6" spans="1:11">
      <c r="A6" s="107">
        <v>3</v>
      </c>
      <c r="B6" s="108" t="s">
        <v>68</v>
      </c>
      <c r="C6" s="108" t="s">
        <v>83</v>
      </c>
      <c r="D6" s="109" t="s">
        <v>94</v>
      </c>
      <c r="E6" s="139" t="s">
        <v>94</v>
      </c>
      <c r="F6" s="179" t="s">
        <v>94</v>
      </c>
      <c r="G6" s="140" t="s">
        <v>94</v>
      </c>
      <c r="H6" s="179" t="s">
        <v>148</v>
      </c>
      <c r="I6" s="140">
        <v>95</v>
      </c>
      <c r="J6" s="112">
        <v>299</v>
      </c>
      <c r="K6" s="180" t="s">
        <v>88</v>
      </c>
    </row>
    <row r="7" spans="1:11" s="99" customFormat="1">
      <c r="A7" s="90"/>
      <c r="B7" s="91" t="s">
        <v>68</v>
      </c>
      <c r="C7" s="91" t="s">
        <v>84</v>
      </c>
      <c r="D7" s="92" t="s">
        <v>94</v>
      </c>
      <c r="E7" s="255" t="s">
        <v>42</v>
      </c>
      <c r="F7" s="92" t="s">
        <v>94</v>
      </c>
      <c r="G7" s="94" t="s">
        <v>94</v>
      </c>
      <c r="H7" s="256" t="s">
        <v>148</v>
      </c>
      <c r="I7" s="94">
        <v>118</v>
      </c>
      <c r="J7" s="177">
        <v>999</v>
      </c>
      <c r="K7" s="257" t="s">
        <v>89</v>
      </c>
    </row>
    <row r="8" spans="1:11">
      <c r="A8" s="18">
        <v>4</v>
      </c>
      <c r="B8" s="75" t="s">
        <v>191</v>
      </c>
      <c r="C8" s="75" t="s">
        <v>193</v>
      </c>
      <c r="D8" s="20" t="s">
        <v>94</v>
      </c>
      <c r="E8" s="24" t="s">
        <v>116</v>
      </c>
      <c r="F8" s="20" t="s">
        <v>94</v>
      </c>
      <c r="G8" s="22" t="s">
        <v>94</v>
      </c>
      <c r="H8" s="20" t="s">
        <v>148</v>
      </c>
      <c r="I8" s="22">
        <v>220</v>
      </c>
      <c r="J8" s="23">
        <v>412</v>
      </c>
      <c r="K8" s="64" t="s">
        <v>364</v>
      </c>
    </row>
    <row r="9" spans="1:11">
      <c r="A9" s="18">
        <v>5</v>
      </c>
      <c r="B9" s="75" t="s">
        <v>191</v>
      </c>
      <c r="C9" s="75" t="s">
        <v>192</v>
      </c>
      <c r="D9" s="20" t="s">
        <v>42</v>
      </c>
      <c r="E9" s="24" t="s">
        <v>116</v>
      </c>
      <c r="F9" s="20" t="s">
        <v>94</v>
      </c>
      <c r="G9" s="22" t="s">
        <v>94</v>
      </c>
      <c r="H9" s="20"/>
      <c r="I9" s="22">
        <v>220</v>
      </c>
      <c r="J9" s="23">
        <v>275</v>
      </c>
      <c r="K9" s="64" t="s">
        <v>364</v>
      </c>
    </row>
    <row r="10" spans="1:11" s="47" customFormat="1">
      <c r="A10" s="43"/>
      <c r="B10" s="43"/>
      <c r="C10" s="43"/>
      <c r="D10" s="50"/>
      <c r="E10" s="51"/>
      <c r="F10" s="50"/>
      <c r="G10" s="45"/>
      <c r="H10" s="50" t="s">
        <v>376</v>
      </c>
      <c r="I10" s="46">
        <f>MIN(FC_Mass)</f>
        <v>0</v>
      </c>
      <c r="J10" s="100">
        <f>MIN(FC_Price)</f>
        <v>199.99</v>
      </c>
      <c r="K10" s="53">
        <f ca="1">NOW()</f>
        <v>41738.554235995369</v>
      </c>
    </row>
    <row r="11" spans="1:11" s="47" customFormat="1">
      <c r="F11" s="63"/>
      <c r="H11" s="63" t="s">
        <v>377</v>
      </c>
      <c r="I11" s="47">
        <f>MAX(FC_Mass)</f>
        <v>224</v>
      </c>
      <c r="J11" s="101">
        <f>MAX(FC_Price)</f>
        <v>1299</v>
      </c>
    </row>
    <row r="12" spans="1:11">
      <c r="H12" s="63" t="s">
        <v>378</v>
      </c>
      <c r="I12" s="47">
        <f>AVERAGE(FC_Mass)</f>
        <v>130.71428571428572</v>
      </c>
      <c r="J12" s="101">
        <f>AVERAGE(FC_Price)</f>
        <v>531.99571428571437</v>
      </c>
    </row>
    <row r="13" spans="1:11">
      <c r="B13" t="s">
        <v>548</v>
      </c>
    </row>
    <row r="14" spans="1:11">
      <c r="B14" s="250" t="s">
        <v>313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</hyperlinks>
  <pageMargins left="0.7" right="0.7" top="0.75" bottom="0.75" header="0.3" footer="0.3"/>
  <pageSetup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4"/>
  <sheetViews>
    <sheetView view="pageLayout" zoomScale="90" zoomScaleNormal="90" zoomScalePageLayoutView="90" workbookViewId="0">
      <selection activeCell="A4" sqref="A4"/>
    </sheetView>
  </sheetViews>
  <sheetFormatPr baseColWidth="10" defaultColWidth="8.83203125" defaultRowHeight="15" x14ac:dyDescent="0"/>
  <cols>
    <col min="1" max="1" width="4.6640625" bestFit="1" customWidth="1"/>
    <col min="2" max="2" width="10" customWidth="1"/>
    <col min="3" max="3" width="9" bestFit="1" customWidth="1"/>
    <col min="4" max="4" width="6.6640625" bestFit="1" customWidth="1"/>
    <col min="5" max="5" width="4.6640625" bestFit="1" customWidth="1"/>
    <col min="6" max="6" width="7.5" bestFit="1" customWidth="1"/>
    <col min="7" max="7" width="11.1640625" bestFit="1" customWidth="1"/>
    <col min="8" max="8" width="4.6640625" bestFit="1" customWidth="1"/>
    <col min="9" max="9" width="8" bestFit="1" customWidth="1"/>
    <col min="10" max="10" width="4.6640625" bestFit="1" customWidth="1"/>
    <col min="11" max="11" width="9.1640625" bestFit="1" customWidth="1"/>
    <col min="12" max="12" width="60" style="27" bestFit="1" customWidth="1"/>
  </cols>
  <sheetData>
    <row r="1" spans="1:12">
      <c r="A1" t="s">
        <v>370</v>
      </c>
    </row>
    <row r="2" spans="1:12" s="42" customFormat="1" ht="95.25">
      <c r="A2" s="124" t="s">
        <v>27</v>
      </c>
      <c r="B2" s="124" t="s">
        <v>28</v>
      </c>
      <c r="C2" s="124" t="s">
        <v>30</v>
      </c>
      <c r="D2" s="124" t="s">
        <v>198</v>
      </c>
      <c r="E2" s="125" t="s">
        <v>87</v>
      </c>
      <c r="F2" s="124" t="s">
        <v>200</v>
      </c>
      <c r="G2" s="124" t="s">
        <v>201</v>
      </c>
      <c r="H2" s="1" t="s">
        <v>203</v>
      </c>
      <c r="I2" s="124" t="s">
        <v>204</v>
      </c>
      <c r="J2" s="1" t="s">
        <v>295</v>
      </c>
      <c r="K2" s="128" t="s">
        <v>154</v>
      </c>
      <c r="L2" s="16" t="s">
        <v>14</v>
      </c>
    </row>
    <row r="3" spans="1:12" s="99" customFormat="1">
      <c r="A3" s="166">
        <v>13</v>
      </c>
      <c r="B3" s="258" t="s">
        <v>117</v>
      </c>
      <c r="C3" s="258" t="s">
        <v>210</v>
      </c>
      <c r="D3" s="259" t="s">
        <v>199</v>
      </c>
      <c r="E3" s="260">
        <v>14</v>
      </c>
      <c r="F3" s="259" t="s">
        <v>189</v>
      </c>
      <c r="G3" s="259" t="s">
        <v>202</v>
      </c>
      <c r="H3" s="261" t="s">
        <v>94</v>
      </c>
      <c r="I3" s="262" t="s">
        <v>332</v>
      </c>
      <c r="J3" s="261" t="s">
        <v>94</v>
      </c>
      <c r="K3" s="263">
        <v>599</v>
      </c>
      <c r="L3" s="264" t="s">
        <v>211</v>
      </c>
    </row>
    <row r="4" spans="1:12" s="251" customFormat="1">
      <c r="A4" s="267">
        <v>1</v>
      </c>
      <c r="B4" s="268" t="s">
        <v>117</v>
      </c>
      <c r="C4" s="268" t="s">
        <v>326</v>
      </c>
      <c r="D4" s="269" t="s">
        <v>199</v>
      </c>
      <c r="E4" s="270">
        <v>14</v>
      </c>
      <c r="F4" s="269" t="s">
        <v>189</v>
      </c>
      <c r="G4" s="269" t="s">
        <v>202</v>
      </c>
      <c r="H4" s="271" t="s">
        <v>94</v>
      </c>
      <c r="I4" s="272" t="s">
        <v>205</v>
      </c>
      <c r="J4" s="273" t="s">
        <v>94</v>
      </c>
      <c r="K4" s="274">
        <v>479</v>
      </c>
      <c r="L4" s="275" t="s">
        <v>209</v>
      </c>
    </row>
    <row r="5" spans="1:12" s="99" customFormat="1">
      <c r="A5" s="166"/>
      <c r="B5" s="258" t="s">
        <v>117</v>
      </c>
      <c r="C5" s="258" t="s">
        <v>327</v>
      </c>
      <c r="D5" s="259" t="s">
        <v>199</v>
      </c>
      <c r="E5" s="260">
        <v>10</v>
      </c>
      <c r="F5" s="259" t="s">
        <v>42</v>
      </c>
      <c r="G5" s="259" t="s">
        <v>202</v>
      </c>
      <c r="H5" s="261" t="s">
        <v>94</v>
      </c>
      <c r="I5" s="262" t="s">
        <v>332</v>
      </c>
      <c r="J5" s="261" t="s">
        <v>94</v>
      </c>
      <c r="K5" s="263">
        <v>549.9</v>
      </c>
      <c r="L5" s="264" t="s">
        <v>331</v>
      </c>
    </row>
    <row r="6" spans="1:12" s="99" customFormat="1">
      <c r="A6" s="166"/>
      <c r="B6" s="258" t="s">
        <v>117</v>
      </c>
      <c r="C6" s="258" t="s">
        <v>325</v>
      </c>
      <c r="D6" s="259" t="s">
        <v>199</v>
      </c>
      <c r="E6" s="260">
        <v>7</v>
      </c>
      <c r="F6" s="259" t="s">
        <v>328</v>
      </c>
      <c r="G6" s="259" t="s">
        <v>202</v>
      </c>
      <c r="H6" s="261" t="s">
        <v>94</v>
      </c>
      <c r="I6" s="262" t="s">
        <v>333</v>
      </c>
      <c r="J6" s="261" t="s">
        <v>94</v>
      </c>
      <c r="K6" s="263">
        <v>279.99</v>
      </c>
      <c r="L6" s="264" t="s">
        <v>330</v>
      </c>
    </row>
    <row r="7" spans="1:12" s="99" customFormat="1">
      <c r="A7" s="166"/>
      <c r="B7" s="258" t="s">
        <v>117</v>
      </c>
      <c r="C7" s="258" t="s">
        <v>324</v>
      </c>
      <c r="D7" s="259" t="s">
        <v>199</v>
      </c>
      <c r="E7" s="260">
        <v>6</v>
      </c>
      <c r="F7" s="259" t="s">
        <v>328</v>
      </c>
      <c r="G7" s="259" t="s">
        <v>202</v>
      </c>
      <c r="H7" s="261" t="s">
        <v>94</v>
      </c>
      <c r="I7" s="262" t="s">
        <v>333</v>
      </c>
      <c r="J7" s="261" t="s">
        <v>94</v>
      </c>
      <c r="K7" s="263">
        <v>212.08</v>
      </c>
      <c r="L7" s="264" t="s">
        <v>329</v>
      </c>
    </row>
    <row r="8" spans="1:12">
      <c r="A8" s="129"/>
      <c r="B8" s="130"/>
      <c r="C8" s="134"/>
      <c r="D8" s="184"/>
      <c r="E8" s="183"/>
      <c r="F8" s="184"/>
      <c r="G8" s="184"/>
      <c r="H8" s="181"/>
      <c r="I8" s="131"/>
      <c r="J8" s="181"/>
      <c r="K8" s="182"/>
      <c r="L8" s="86"/>
    </row>
    <row r="9" spans="1:12" s="99" customFormat="1">
      <c r="A9" s="166"/>
      <c r="B9" s="258" t="s">
        <v>314</v>
      </c>
      <c r="C9" s="258" t="s">
        <v>318</v>
      </c>
      <c r="D9" s="259" t="s">
        <v>199</v>
      </c>
      <c r="E9" s="260">
        <v>14</v>
      </c>
      <c r="F9" s="259" t="s">
        <v>189</v>
      </c>
      <c r="G9" s="259" t="s">
        <v>323</v>
      </c>
      <c r="H9" s="261" t="s">
        <v>94</v>
      </c>
      <c r="I9" s="262" t="s">
        <v>337</v>
      </c>
      <c r="J9" s="261" t="s">
        <v>94</v>
      </c>
      <c r="K9" s="263">
        <v>679</v>
      </c>
      <c r="L9" s="264" t="s">
        <v>319</v>
      </c>
    </row>
    <row r="10" spans="1:12" s="99" customFormat="1">
      <c r="A10" s="166"/>
      <c r="B10" s="258" t="s">
        <v>314</v>
      </c>
      <c r="C10" s="258" t="s">
        <v>317</v>
      </c>
      <c r="D10" s="259" t="s">
        <v>199</v>
      </c>
      <c r="E10" s="260">
        <v>11</v>
      </c>
      <c r="F10" s="259" t="s">
        <v>189</v>
      </c>
      <c r="G10" s="259" t="s">
        <v>323</v>
      </c>
      <c r="H10" s="261" t="s">
        <v>94</v>
      </c>
      <c r="I10" s="262" t="s">
        <v>337</v>
      </c>
      <c r="J10" s="261" t="s">
        <v>94</v>
      </c>
      <c r="K10" s="263">
        <v>799</v>
      </c>
      <c r="L10" s="264" t="s">
        <v>320</v>
      </c>
    </row>
    <row r="11" spans="1:12" s="99" customFormat="1">
      <c r="A11" s="166"/>
      <c r="B11" s="258" t="s">
        <v>314</v>
      </c>
      <c r="C11" s="258" t="s">
        <v>316</v>
      </c>
      <c r="D11" s="259" t="s">
        <v>199</v>
      </c>
      <c r="E11" s="260">
        <v>8</v>
      </c>
      <c r="F11" s="259" t="s">
        <v>189</v>
      </c>
      <c r="G11" s="259" t="s">
        <v>323</v>
      </c>
      <c r="H11" s="261" t="s">
        <v>94</v>
      </c>
      <c r="I11" s="262" t="s">
        <v>336</v>
      </c>
      <c r="J11" s="261" t="s">
        <v>94</v>
      </c>
      <c r="K11" s="263">
        <v>429</v>
      </c>
      <c r="L11" s="264" t="s">
        <v>321</v>
      </c>
    </row>
    <row r="12" spans="1:12" s="99" customFormat="1">
      <c r="A12" s="166"/>
      <c r="B12" s="258" t="s">
        <v>314</v>
      </c>
      <c r="C12" s="258" t="s">
        <v>315</v>
      </c>
      <c r="D12" s="259" t="s">
        <v>199</v>
      </c>
      <c r="E12" s="260">
        <v>6</v>
      </c>
      <c r="F12" s="259" t="s">
        <v>334</v>
      </c>
      <c r="G12" s="259" t="s">
        <v>323</v>
      </c>
      <c r="H12" s="261" t="s">
        <v>94</v>
      </c>
      <c r="I12" s="262" t="s">
        <v>335</v>
      </c>
      <c r="J12" s="261" t="s">
        <v>94</v>
      </c>
      <c r="K12" s="263">
        <v>199</v>
      </c>
      <c r="L12" s="264" t="s">
        <v>322</v>
      </c>
    </row>
    <row r="13" spans="1:12">
      <c r="A13" s="129"/>
      <c r="B13" s="130"/>
      <c r="C13" s="134"/>
      <c r="D13" s="184"/>
      <c r="E13" s="183"/>
      <c r="F13" s="184"/>
      <c r="G13" s="184"/>
      <c r="H13" s="181"/>
      <c r="I13" s="131"/>
      <c r="J13" s="181"/>
      <c r="K13" s="182"/>
      <c r="L13" s="86"/>
    </row>
    <row r="14" spans="1:12" s="99" customFormat="1">
      <c r="A14" s="166"/>
      <c r="B14" s="258" t="s">
        <v>131</v>
      </c>
      <c r="C14" s="258" t="s">
        <v>215</v>
      </c>
      <c r="D14" s="259" t="s">
        <v>199</v>
      </c>
      <c r="E14" s="260">
        <v>9</v>
      </c>
      <c r="F14" s="259" t="s">
        <v>189</v>
      </c>
      <c r="G14" s="265" t="s">
        <v>290</v>
      </c>
      <c r="H14" s="261" t="s">
        <v>94</v>
      </c>
      <c r="I14" s="262" t="s">
        <v>42</v>
      </c>
      <c r="J14" s="261" t="s">
        <v>94</v>
      </c>
      <c r="K14" s="263">
        <v>449.99</v>
      </c>
      <c r="L14" s="266" t="s">
        <v>291</v>
      </c>
    </row>
    <row r="15" spans="1:12" s="99" customFormat="1">
      <c r="A15" s="166"/>
      <c r="B15" s="258" t="s">
        <v>131</v>
      </c>
      <c r="C15" s="258" t="s">
        <v>214</v>
      </c>
      <c r="D15" s="259" t="s">
        <v>199</v>
      </c>
      <c r="E15" s="260">
        <v>8</v>
      </c>
      <c r="F15" s="259" t="s">
        <v>189</v>
      </c>
      <c r="G15" s="265" t="s">
        <v>290</v>
      </c>
      <c r="H15" s="261" t="s">
        <v>94</v>
      </c>
      <c r="I15" s="262" t="s">
        <v>42</v>
      </c>
      <c r="J15" s="261" t="s">
        <v>94</v>
      </c>
      <c r="K15" s="263">
        <v>299.99</v>
      </c>
      <c r="L15" s="266" t="s">
        <v>292</v>
      </c>
    </row>
    <row r="16" spans="1:12" s="99" customFormat="1">
      <c r="A16" s="166"/>
      <c r="B16" s="258" t="s">
        <v>131</v>
      </c>
      <c r="C16" s="258" t="s">
        <v>213</v>
      </c>
      <c r="D16" s="259" t="s">
        <v>199</v>
      </c>
      <c r="E16" s="260">
        <v>7</v>
      </c>
      <c r="F16" s="259" t="s">
        <v>189</v>
      </c>
      <c r="G16" s="265" t="s">
        <v>290</v>
      </c>
      <c r="H16" s="261" t="s">
        <v>94</v>
      </c>
      <c r="I16" s="262" t="s">
        <v>218</v>
      </c>
      <c r="J16" s="261" t="s">
        <v>94</v>
      </c>
      <c r="K16" s="263">
        <v>299.99</v>
      </c>
      <c r="L16" s="266" t="s">
        <v>293</v>
      </c>
    </row>
    <row r="17" spans="1:12" s="99" customFormat="1">
      <c r="A17" s="166">
        <v>1</v>
      </c>
      <c r="B17" s="258" t="s">
        <v>131</v>
      </c>
      <c r="C17" s="258" t="s">
        <v>212</v>
      </c>
      <c r="D17" s="259" t="s">
        <v>199</v>
      </c>
      <c r="E17" s="260">
        <v>6</v>
      </c>
      <c r="F17" s="259" t="s">
        <v>189</v>
      </c>
      <c r="G17" s="265" t="s">
        <v>290</v>
      </c>
      <c r="H17" s="261" t="s">
        <v>94</v>
      </c>
      <c r="I17" s="262" t="s">
        <v>216</v>
      </c>
      <c r="J17" s="261" t="s">
        <v>94</v>
      </c>
      <c r="K17" s="263">
        <v>229.99</v>
      </c>
      <c r="L17" s="264" t="s">
        <v>294</v>
      </c>
    </row>
    <row r="18" spans="1:12" s="47" customFormat="1">
      <c r="C18" s="47" t="s">
        <v>376</v>
      </c>
      <c r="E18" s="47">
        <f>MIN(E3:E17)</f>
        <v>6</v>
      </c>
      <c r="K18" s="101">
        <f t="shared" ref="K18" si="0">MIN(K3:K17)</f>
        <v>199</v>
      </c>
      <c r="L18" s="53">
        <f ca="1">NOW()</f>
        <v>41738.554235995369</v>
      </c>
    </row>
    <row r="19" spans="1:12">
      <c r="C19" s="102" t="s">
        <v>377</v>
      </c>
      <c r="D19" s="47"/>
      <c r="E19" s="47">
        <f>MAX(E3:E17)</f>
        <v>14</v>
      </c>
      <c r="F19" s="47"/>
      <c r="G19" s="47"/>
      <c r="H19" s="47"/>
      <c r="I19" s="47"/>
      <c r="J19" s="47"/>
      <c r="K19" s="101">
        <f t="shared" ref="K19" si="1">MAX(K3:K17)</f>
        <v>799</v>
      </c>
    </row>
    <row r="20" spans="1:12">
      <c r="C20" s="102" t="s">
        <v>378</v>
      </c>
      <c r="D20" s="47"/>
      <c r="E20" s="47">
        <f>AVERAGE(E3:E17)</f>
        <v>9.2307692307692299</v>
      </c>
      <c r="F20" s="47"/>
      <c r="G20" s="47"/>
      <c r="H20" s="47"/>
      <c r="I20" s="47"/>
      <c r="J20" s="47"/>
      <c r="K20" s="101">
        <f t="shared" ref="K20" si="2">AVERAGE(K3:K17)</f>
        <v>423.53307692307686</v>
      </c>
    </row>
    <row r="23" spans="1:12">
      <c r="B23" t="s">
        <v>548</v>
      </c>
    </row>
    <row r="24" spans="1:12">
      <c r="B24" s="251" t="s">
        <v>558</v>
      </c>
      <c r="C24" s="113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82" fitToHeight="0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17"/>
  <sheetViews>
    <sheetView view="pageLayout" zoomScale="125" zoomScaleNormal="90" zoomScalePageLayoutView="90" workbookViewId="0">
      <selection activeCell="A4" sqref="A4"/>
    </sheetView>
  </sheetViews>
  <sheetFormatPr baseColWidth="10" defaultColWidth="8.83203125" defaultRowHeight="15" x14ac:dyDescent="0"/>
  <cols>
    <col min="1" max="1" width="4.6640625" bestFit="1" customWidth="1"/>
    <col min="2" max="2" width="9.1640625" bestFit="1" customWidth="1"/>
    <col min="3" max="3" width="12.83203125" bestFit="1" customWidth="1"/>
    <col min="4" max="4" width="8.6640625" bestFit="1" customWidth="1"/>
    <col min="5" max="5" width="4.6640625" bestFit="1" customWidth="1"/>
    <col min="6" max="8" width="4.83203125" bestFit="1" customWidth="1"/>
    <col min="9" max="9" width="7" bestFit="1" customWidth="1"/>
    <col min="10" max="10" width="4.6640625" bestFit="1" customWidth="1"/>
    <col min="11" max="11" width="9" bestFit="1" customWidth="1"/>
    <col min="12" max="12" width="21.33203125" bestFit="1" customWidth="1"/>
  </cols>
  <sheetData>
    <row r="1" spans="1:12">
      <c r="A1" t="s">
        <v>369</v>
      </c>
    </row>
    <row r="2" spans="1:12" ht="79.5">
      <c r="A2" s="1" t="s">
        <v>27</v>
      </c>
      <c r="B2" s="124" t="s">
        <v>28</v>
      </c>
      <c r="C2" s="124" t="s">
        <v>29</v>
      </c>
      <c r="D2" s="124" t="s">
        <v>30</v>
      </c>
      <c r="E2" s="125" t="s">
        <v>207</v>
      </c>
      <c r="F2" s="126" t="s">
        <v>208</v>
      </c>
      <c r="G2" s="127" t="s">
        <v>168</v>
      </c>
      <c r="H2" s="126" t="s">
        <v>167</v>
      </c>
      <c r="I2" s="126" t="s">
        <v>338</v>
      </c>
      <c r="J2" s="126" t="s">
        <v>37</v>
      </c>
      <c r="K2" s="128" t="s">
        <v>39</v>
      </c>
      <c r="L2" s="16" t="s">
        <v>14</v>
      </c>
    </row>
    <row r="3" spans="1:12" s="99" customFormat="1">
      <c r="A3" s="166">
        <v>8</v>
      </c>
      <c r="B3" s="258" t="s">
        <v>117</v>
      </c>
      <c r="C3" s="258" t="s">
        <v>206</v>
      </c>
      <c r="D3" s="262" t="s">
        <v>332</v>
      </c>
      <c r="E3" s="276">
        <v>14</v>
      </c>
      <c r="F3" s="277">
        <v>52</v>
      </c>
      <c r="G3" s="278">
        <v>37.6</v>
      </c>
      <c r="H3" s="277">
        <v>15.9</v>
      </c>
      <c r="I3" s="279" t="s">
        <v>339</v>
      </c>
      <c r="J3" s="280">
        <v>21.5</v>
      </c>
      <c r="K3" s="281">
        <v>169.98</v>
      </c>
      <c r="L3" s="282" t="s">
        <v>365</v>
      </c>
    </row>
    <row r="4" spans="1:12" s="251" customFormat="1">
      <c r="A4" s="267">
        <v>1</v>
      </c>
      <c r="B4" s="268" t="s">
        <v>117</v>
      </c>
      <c r="C4" s="268" t="s">
        <v>206</v>
      </c>
      <c r="D4" s="272" t="s">
        <v>205</v>
      </c>
      <c r="E4" s="285">
        <v>8</v>
      </c>
      <c r="F4" s="286">
        <v>47.3</v>
      </c>
      <c r="G4" s="287">
        <v>24.9</v>
      </c>
      <c r="H4" s="287">
        <v>14.3</v>
      </c>
      <c r="I4" s="288" t="s">
        <v>340</v>
      </c>
      <c r="J4" s="289">
        <v>13.8</v>
      </c>
      <c r="K4" s="290">
        <v>129.99</v>
      </c>
      <c r="L4" s="291" t="s">
        <v>365</v>
      </c>
    </row>
    <row r="5" spans="1:12" s="99" customFormat="1">
      <c r="A5" s="166"/>
      <c r="B5" s="258" t="s">
        <v>117</v>
      </c>
      <c r="C5" s="258" t="s">
        <v>206</v>
      </c>
      <c r="D5" s="262" t="s">
        <v>333</v>
      </c>
      <c r="E5" s="276">
        <v>7</v>
      </c>
      <c r="F5" s="283">
        <v>40</v>
      </c>
      <c r="G5" s="278">
        <v>27</v>
      </c>
      <c r="H5" s="278">
        <v>9</v>
      </c>
      <c r="I5" s="279" t="s">
        <v>339</v>
      </c>
      <c r="J5" s="284">
        <v>9.8000000000000007</v>
      </c>
      <c r="K5" s="281">
        <v>69.95</v>
      </c>
      <c r="L5" s="282" t="s">
        <v>365</v>
      </c>
    </row>
    <row r="6" spans="1:12">
      <c r="A6" s="129"/>
      <c r="B6" s="130"/>
      <c r="C6" s="130"/>
      <c r="D6" s="131"/>
      <c r="E6" s="132"/>
      <c r="F6" s="137"/>
      <c r="G6" s="133"/>
      <c r="H6" s="133"/>
      <c r="I6" s="134"/>
      <c r="J6" s="138"/>
      <c r="K6" s="135"/>
      <c r="L6" s="136"/>
    </row>
    <row r="7" spans="1:12" s="99" customFormat="1">
      <c r="A7" s="166"/>
      <c r="B7" s="258" t="s">
        <v>314</v>
      </c>
      <c r="C7" s="258" t="s">
        <v>343</v>
      </c>
      <c r="D7" s="262" t="s">
        <v>337</v>
      </c>
      <c r="E7" s="276">
        <v>11</v>
      </c>
      <c r="F7" s="283">
        <v>47.5</v>
      </c>
      <c r="G7" s="278">
        <v>32</v>
      </c>
      <c r="H7" s="278">
        <v>14</v>
      </c>
      <c r="I7" s="279" t="s">
        <v>345</v>
      </c>
      <c r="J7" s="284">
        <v>18</v>
      </c>
      <c r="K7" s="281">
        <v>129.99</v>
      </c>
      <c r="L7" s="282" t="s">
        <v>366</v>
      </c>
    </row>
    <row r="8" spans="1:12" s="99" customFormat="1">
      <c r="A8" s="166"/>
      <c r="B8" s="258" t="s">
        <v>314</v>
      </c>
      <c r="C8" s="258" t="s">
        <v>343</v>
      </c>
      <c r="D8" s="262" t="s">
        <v>335</v>
      </c>
      <c r="E8" s="276">
        <v>6</v>
      </c>
      <c r="F8" s="283">
        <v>46.5</v>
      </c>
      <c r="G8" s="278">
        <v>20</v>
      </c>
      <c r="H8" s="278">
        <v>12.5</v>
      </c>
      <c r="I8" s="279" t="s">
        <v>344</v>
      </c>
      <c r="J8" s="284">
        <v>9</v>
      </c>
      <c r="K8" s="281">
        <v>79.989999999999995</v>
      </c>
      <c r="L8" s="282" t="s">
        <v>366</v>
      </c>
    </row>
    <row r="9" spans="1:12">
      <c r="A9" s="129"/>
      <c r="B9" s="130"/>
      <c r="C9" s="130"/>
      <c r="D9" s="131"/>
      <c r="E9" s="132"/>
      <c r="F9" s="137"/>
      <c r="G9" s="133"/>
      <c r="H9" s="133"/>
      <c r="I9" s="134"/>
      <c r="J9" s="138"/>
      <c r="K9" s="135"/>
      <c r="L9" s="136"/>
    </row>
    <row r="10" spans="1:12" s="99" customFormat="1">
      <c r="A10" s="166"/>
      <c r="B10" s="258" t="s">
        <v>131</v>
      </c>
      <c r="C10" s="258" t="s">
        <v>341</v>
      </c>
      <c r="D10" s="262" t="s">
        <v>218</v>
      </c>
      <c r="E10" s="276">
        <v>8</v>
      </c>
      <c r="F10" s="283">
        <v>34.299999999999997</v>
      </c>
      <c r="G10" s="278">
        <v>32.299999999999997</v>
      </c>
      <c r="H10" s="278">
        <v>11.4</v>
      </c>
      <c r="I10" s="279" t="s">
        <v>342</v>
      </c>
      <c r="J10" s="284">
        <v>9.4</v>
      </c>
      <c r="K10" s="281">
        <v>129.99</v>
      </c>
      <c r="L10" s="282" t="s">
        <v>367</v>
      </c>
    </row>
    <row r="11" spans="1:12" s="99" customFormat="1">
      <c r="A11" s="166"/>
      <c r="B11" s="258" t="s">
        <v>131</v>
      </c>
      <c r="C11" s="258" t="s">
        <v>341</v>
      </c>
      <c r="D11" s="262" t="s">
        <v>217</v>
      </c>
      <c r="E11" s="276">
        <v>7</v>
      </c>
      <c r="F11" s="283">
        <v>34.299999999999997</v>
      </c>
      <c r="G11" s="278">
        <v>29.2</v>
      </c>
      <c r="H11" s="278">
        <v>11.4</v>
      </c>
      <c r="I11" s="279" t="s">
        <v>342</v>
      </c>
      <c r="J11" s="284">
        <v>8.9</v>
      </c>
      <c r="K11" s="281">
        <v>89.99</v>
      </c>
      <c r="L11" s="282" t="s">
        <v>367</v>
      </c>
    </row>
    <row r="12" spans="1:12" s="99" customFormat="1">
      <c r="A12" s="166">
        <v>1</v>
      </c>
      <c r="B12" s="258" t="s">
        <v>131</v>
      </c>
      <c r="C12" s="258" t="s">
        <v>341</v>
      </c>
      <c r="D12" s="262" t="s">
        <v>216</v>
      </c>
      <c r="E12" s="276">
        <v>6</v>
      </c>
      <c r="F12" s="283">
        <v>36.6</v>
      </c>
      <c r="G12" s="278">
        <v>26.7</v>
      </c>
      <c r="H12" s="278">
        <v>12.7</v>
      </c>
      <c r="I12" s="279" t="s">
        <v>42</v>
      </c>
      <c r="J12" s="284">
        <v>9</v>
      </c>
      <c r="K12" s="281">
        <v>49.99</v>
      </c>
      <c r="L12" s="282" t="s">
        <v>367</v>
      </c>
    </row>
    <row r="13" spans="1:12">
      <c r="A13" s="47"/>
      <c r="B13" s="58"/>
      <c r="C13" s="58"/>
      <c r="D13" s="89" t="s">
        <v>379</v>
      </c>
      <c r="E13" s="121">
        <f>MIN(E3:E12)</f>
        <v>6</v>
      </c>
      <c r="F13" s="121">
        <f t="shared" ref="F13:K13" si="0">MIN(F3:F12)</f>
        <v>34.299999999999997</v>
      </c>
      <c r="G13" s="121">
        <f t="shared" si="0"/>
        <v>20</v>
      </c>
      <c r="H13" s="121">
        <f t="shared" si="0"/>
        <v>9</v>
      </c>
      <c r="I13" s="121"/>
      <c r="J13" s="121">
        <f t="shared" si="0"/>
        <v>8.9</v>
      </c>
      <c r="K13" s="122">
        <f t="shared" si="0"/>
        <v>49.99</v>
      </c>
      <c r="L13" s="53">
        <f ca="1">NOW()</f>
        <v>41738.554235995369</v>
      </c>
    </row>
    <row r="14" spans="1:12">
      <c r="D14" s="103" t="s">
        <v>380</v>
      </c>
      <c r="E14" s="123">
        <f>MAX(E3:E12)</f>
        <v>14</v>
      </c>
      <c r="F14" s="123">
        <f t="shared" ref="F14:K14" si="1">MAX(F3:F12)</f>
        <v>52</v>
      </c>
      <c r="G14" s="123">
        <f t="shared" si="1"/>
        <v>37.6</v>
      </c>
      <c r="H14" s="123">
        <f t="shared" si="1"/>
        <v>15.9</v>
      </c>
      <c r="I14" s="123"/>
      <c r="J14" s="123">
        <f t="shared" si="1"/>
        <v>21.5</v>
      </c>
      <c r="K14" s="122">
        <f t="shared" si="1"/>
        <v>169.98</v>
      </c>
    </row>
    <row r="15" spans="1:12">
      <c r="D15" s="103" t="s">
        <v>381</v>
      </c>
      <c r="E15" s="123">
        <f>AVERAGE(E3:E12)</f>
        <v>8.375</v>
      </c>
      <c r="F15" s="123">
        <f t="shared" ref="F15:K15" si="2">AVERAGE(F3:F12)</f>
        <v>42.312500000000007</v>
      </c>
      <c r="G15" s="123">
        <f t="shared" si="2"/>
        <v>28.712499999999999</v>
      </c>
      <c r="H15" s="123">
        <f t="shared" si="2"/>
        <v>12.650000000000002</v>
      </c>
      <c r="I15" s="123"/>
      <c r="J15" s="123">
        <f t="shared" si="2"/>
        <v>12.425000000000001</v>
      </c>
      <c r="K15" s="122">
        <f t="shared" si="2"/>
        <v>106.23375</v>
      </c>
    </row>
    <row r="16" spans="1:12">
      <c r="B16" t="s">
        <v>548</v>
      </c>
    </row>
    <row r="17" spans="2:4">
      <c r="B17" s="251" t="s">
        <v>559</v>
      </c>
      <c r="C17" s="251"/>
      <c r="D17" s="113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4"/>
  <sheetViews>
    <sheetView view="pageLayout" workbookViewId="0">
      <selection activeCell="A4" sqref="A4"/>
    </sheetView>
  </sheetViews>
  <sheetFormatPr baseColWidth="10" defaultColWidth="8.83203125" defaultRowHeight="15" x14ac:dyDescent="0"/>
  <cols>
    <col min="1" max="1" width="3" customWidth="1"/>
    <col min="2" max="2" width="11.1640625" customWidth="1"/>
    <col min="3" max="3" width="17.1640625" bestFit="1" customWidth="1"/>
    <col min="4" max="4" width="4.83203125" bestFit="1" customWidth="1"/>
    <col min="5" max="5" width="4.6640625" bestFit="1" customWidth="1"/>
    <col min="6" max="6" width="12.1640625" bestFit="1" customWidth="1"/>
    <col min="7" max="7" width="8.1640625" bestFit="1" customWidth="1"/>
    <col min="8" max="8" width="6.1640625" bestFit="1" customWidth="1"/>
    <col min="9" max="9" width="4.6640625" bestFit="1" customWidth="1"/>
    <col min="10" max="10" width="12.1640625" bestFit="1" customWidth="1"/>
    <col min="11" max="11" width="42.5" bestFit="1" customWidth="1"/>
  </cols>
  <sheetData>
    <row r="1" spans="1:11">
      <c r="A1" t="s">
        <v>368</v>
      </c>
    </row>
    <row r="2" spans="1:11" ht="103.5">
      <c r="A2" s="1" t="s">
        <v>27</v>
      </c>
      <c r="B2" s="118" t="s">
        <v>28</v>
      </c>
      <c r="C2" s="118" t="s">
        <v>30</v>
      </c>
      <c r="D2" s="119" t="s">
        <v>124</v>
      </c>
      <c r="E2" s="118" t="s">
        <v>187</v>
      </c>
      <c r="F2" s="118" t="s">
        <v>188</v>
      </c>
      <c r="G2" s="118" t="s">
        <v>125</v>
      </c>
      <c r="H2" s="118" t="s">
        <v>196</v>
      </c>
      <c r="I2" s="118" t="s">
        <v>37</v>
      </c>
      <c r="J2" s="120" t="s">
        <v>39</v>
      </c>
      <c r="K2" s="16" t="s">
        <v>14</v>
      </c>
    </row>
    <row r="3" spans="1:11" s="99" customFormat="1" ht="15.75" customHeight="1">
      <c r="A3" s="90">
        <v>7</v>
      </c>
      <c r="B3" s="91" t="s">
        <v>355</v>
      </c>
      <c r="C3" s="299" t="s">
        <v>385</v>
      </c>
      <c r="D3" s="300">
        <v>12</v>
      </c>
      <c r="E3" s="255" t="s">
        <v>94</v>
      </c>
      <c r="F3" s="91" t="s">
        <v>360</v>
      </c>
      <c r="G3" s="91" t="s">
        <v>189</v>
      </c>
      <c r="H3" s="91" t="s">
        <v>354</v>
      </c>
      <c r="I3" s="94">
        <v>355</v>
      </c>
      <c r="J3" s="301">
        <v>995</v>
      </c>
      <c r="K3" s="302" t="s">
        <v>358</v>
      </c>
    </row>
    <row r="4" spans="1:11" s="99" customFormat="1">
      <c r="A4" s="90"/>
      <c r="B4" s="91" t="s">
        <v>118</v>
      </c>
      <c r="C4" s="299" t="s">
        <v>190</v>
      </c>
      <c r="D4" s="300">
        <v>22.3</v>
      </c>
      <c r="E4" s="98" t="s">
        <v>94</v>
      </c>
      <c r="F4" s="233" t="s">
        <v>361</v>
      </c>
      <c r="G4" s="303" t="s">
        <v>189</v>
      </c>
      <c r="H4" s="303" t="s">
        <v>354</v>
      </c>
      <c r="I4" s="304">
        <v>950</v>
      </c>
      <c r="J4" s="301">
        <v>3399</v>
      </c>
      <c r="K4" s="253" t="s">
        <v>387</v>
      </c>
    </row>
    <row r="5" spans="1:11" s="251" customFormat="1">
      <c r="A5" s="292">
        <v>1</v>
      </c>
      <c r="B5" s="293" t="s">
        <v>119</v>
      </c>
      <c r="C5" s="294" t="s">
        <v>121</v>
      </c>
      <c r="D5" s="7">
        <v>12</v>
      </c>
      <c r="E5" s="295" t="s">
        <v>94</v>
      </c>
      <c r="F5" s="293" t="s">
        <v>361</v>
      </c>
      <c r="G5" s="293" t="s">
        <v>126</v>
      </c>
      <c r="H5" s="293" t="s">
        <v>128</v>
      </c>
      <c r="I5" s="296">
        <v>74</v>
      </c>
      <c r="J5" s="297">
        <v>399.99</v>
      </c>
      <c r="K5" s="298" t="s">
        <v>194</v>
      </c>
    </row>
    <row r="6" spans="1:11" s="99" customFormat="1">
      <c r="A6" s="90"/>
      <c r="B6" s="91" t="s">
        <v>119</v>
      </c>
      <c r="C6" s="299" t="s">
        <v>122</v>
      </c>
      <c r="D6" s="300">
        <v>10</v>
      </c>
      <c r="E6" s="255" t="s">
        <v>94</v>
      </c>
      <c r="F6" s="91" t="s">
        <v>361</v>
      </c>
      <c r="G6" s="91" t="s">
        <v>126</v>
      </c>
      <c r="H6" s="91" t="s">
        <v>128</v>
      </c>
      <c r="I6" s="94">
        <v>74</v>
      </c>
      <c r="J6" s="301">
        <v>299.99</v>
      </c>
      <c r="K6" s="302" t="s">
        <v>195</v>
      </c>
    </row>
    <row r="7" spans="1:11" s="99" customFormat="1">
      <c r="A7" s="90"/>
      <c r="B7" s="91" t="s">
        <v>120</v>
      </c>
      <c r="C7" s="299" t="s">
        <v>123</v>
      </c>
      <c r="D7" s="300">
        <v>12.3</v>
      </c>
      <c r="E7" s="255" t="s">
        <v>94</v>
      </c>
      <c r="F7" s="91" t="s">
        <v>386</v>
      </c>
      <c r="G7" s="91" t="s">
        <v>98</v>
      </c>
      <c r="H7" s="91" t="s">
        <v>229</v>
      </c>
      <c r="I7" s="94">
        <v>840</v>
      </c>
      <c r="J7" s="301">
        <v>1596.95</v>
      </c>
      <c r="K7" s="302" t="s">
        <v>358</v>
      </c>
    </row>
    <row r="8" spans="1:11" s="99" customFormat="1">
      <c r="A8" s="90"/>
      <c r="B8" s="91" t="s">
        <v>120</v>
      </c>
      <c r="C8" s="299" t="s">
        <v>388</v>
      </c>
      <c r="D8" s="300">
        <v>36.299999999999997</v>
      </c>
      <c r="E8" s="255" t="s">
        <v>94</v>
      </c>
      <c r="F8" s="91" t="s">
        <v>360</v>
      </c>
      <c r="G8" s="91" t="s">
        <v>189</v>
      </c>
      <c r="H8" s="91" t="s">
        <v>229</v>
      </c>
      <c r="I8" s="94">
        <v>900</v>
      </c>
      <c r="J8" s="301">
        <v>2799.95</v>
      </c>
      <c r="K8" s="253" t="s">
        <v>389</v>
      </c>
    </row>
    <row r="9" spans="1:11" s="99" customFormat="1">
      <c r="A9" s="90">
        <v>1</v>
      </c>
      <c r="B9" s="91" t="s">
        <v>356</v>
      </c>
      <c r="C9" s="299" t="s">
        <v>357</v>
      </c>
      <c r="D9" s="300">
        <v>16</v>
      </c>
      <c r="E9" s="255" t="s">
        <v>94</v>
      </c>
      <c r="F9" s="91" t="s">
        <v>359</v>
      </c>
      <c r="G9" s="91" t="s">
        <v>189</v>
      </c>
      <c r="H9" s="91" t="s">
        <v>228</v>
      </c>
      <c r="I9" s="94">
        <v>550</v>
      </c>
      <c r="J9" s="301">
        <v>1298</v>
      </c>
      <c r="K9" s="302" t="s">
        <v>358</v>
      </c>
    </row>
    <row r="10" spans="1:11" s="47" customFormat="1">
      <c r="C10" s="115" t="s">
        <v>376</v>
      </c>
      <c r="D10" s="116">
        <f>MIN(D3:D9)</f>
        <v>10</v>
      </c>
      <c r="E10" s="116"/>
      <c r="F10" s="116"/>
      <c r="G10" s="116"/>
      <c r="H10" s="116"/>
      <c r="I10" s="116">
        <f t="shared" ref="I10:J10" si="0">MIN(I3:I9)</f>
        <v>74</v>
      </c>
      <c r="J10" s="101">
        <f t="shared" si="0"/>
        <v>299.99</v>
      </c>
    </row>
    <row r="11" spans="1:11" s="47" customFormat="1">
      <c r="C11" s="115" t="s">
        <v>377</v>
      </c>
      <c r="D11" s="117">
        <f>MAX(D2:D7)</f>
        <v>22.3</v>
      </c>
      <c r="E11" s="117"/>
      <c r="F11" s="117"/>
      <c r="G11" s="117"/>
      <c r="H11" s="117"/>
      <c r="I11" s="117">
        <f t="shared" ref="I11:J11" si="1">MAX(I2:I7)</f>
        <v>950</v>
      </c>
      <c r="J11" s="105">
        <f t="shared" si="1"/>
        <v>3399</v>
      </c>
    </row>
    <row r="12" spans="1:11" s="47" customFormat="1">
      <c r="C12" s="115" t="s">
        <v>378</v>
      </c>
      <c r="D12" s="106">
        <f t="shared" ref="D12:I12" si="2">AVERAGE(D3:D9)</f>
        <v>17.271428571428569</v>
      </c>
      <c r="E12" s="106"/>
      <c r="F12" s="106"/>
      <c r="G12" s="106"/>
      <c r="H12" s="106"/>
      <c r="I12" s="106">
        <f t="shared" si="2"/>
        <v>534.71428571428567</v>
      </c>
      <c r="J12" s="105">
        <f>AVERAGE(J3:J9)</f>
        <v>1541.2685714285712</v>
      </c>
    </row>
    <row r="13" spans="1:11">
      <c r="B13" t="s">
        <v>548</v>
      </c>
    </row>
    <row r="14" spans="1:11">
      <c r="B14" s="251" t="s">
        <v>549</v>
      </c>
      <c r="C14" s="251"/>
    </row>
  </sheetData>
  <sortState ref="B3:K8">
    <sortCondition ref="B3:B8"/>
    <sortCondition ref="C3:C8"/>
  </sortState>
  <phoneticPr fontId="9" type="noConversion"/>
  <hyperlinks>
    <hyperlink ref="K4" r:id="rId1"/>
    <hyperlink ref="K8" r:id="rId2"/>
  </hyperlinks>
  <pageMargins left="0.7" right="0.7" top="0.75" bottom="0.75" header="0.3" footer="0.3"/>
  <pageSetup scale="67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5"/>
  <sheetViews>
    <sheetView view="pageLayout" workbookViewId="0">
      <selection activeCell="B15" sqref="B15"/>
    </sheetView>
  </sheetViews>
  <sheetFormatPr baseColWidth="10" defaultColWidth="8.83203125" defaultRowHeight="15" x14ac:dyDescent="0"/>
  <cols>
    <col min="1" max="1" width="4.6640625" bestFit="1" customWidth="1"/>
    <col min="2" max="2" width="11.5" bestFit="1" customWidth="1"/>
    <col min="3" max="3" width="12.1640625" customWidth="1"/>
    <col min="4" max="4" width="20.1640625" bestFit="1" customWidth="1"/>
    <col min="5" max="5" width="6.5" customWidth="1"/>
    <col min="6" max="6" width="4.6640625" bestFit="1" customWidth="1"/>
    <col min="7" max="7" width="5.6640625" customWidth="1"/>
    <col min="8" max="8" width="10.5" bestFit="1" customWidth="1"/>
    <col min="9" max="9" width="20.83203125" style="41" bestFit="1" customWidth="1"/>
  </cols>
  <sheetData>
    <row r="1" spans="1:9">
      <c r="A1" t="s">
        <v>373</v>
      </c>
    </row>
    <row r="2" spans="1:9" ht="84.75">
      <c r="A2" s="1" t="s">
        <v>27</v>
      </c>
      <c r="B2" s="2" t="s">
        <v>28</v>
      </c>
      <c r="C2" s="2" t="s">
        <v>30</v>
      </c>
      <c r="D2" s="2" t="s">
        <v>129</v>
      </c>
      <c r="E2" s="14" t="s">
        <v>31</v>
      </c>
      <c r="F2" s="2" t="s">
        <v>139</v>
      </c>
      <c r="G2" s="2" t="s">
        <v>37</v>
      </c>
      <c r="H2" s="15" t="s">
        <v>39</v>
      </c>
      <c r="I2" s="39" t="s">
        <v>14</v>
      </c>
    </row>
    <row r="3" spans="1:9">
      <c r="A3" s="18">
        <v>1</v>
      </c>
      <c r="B3" s="75" t="s">
        <v>137</v>
      </c>
      <c r="C3" s="87" t="s">
        <v>140</v>
      </c>
      <c r="D3" s="87" t="s">
        <v>136</v>
      </c>
      <c r="E3" s="20" t="s">
        <v>43</v>
      </c>
      <c r="F3" s="24">
        <v>2</v>
      </c>
      <c r="G3" s="22">
        <v>240</v>
      </c>
      <c r="H3" s="23">
        <v>269</v>
      </c>
      <c r="I3" s="65" t="s">
        <v>249</v>
      </c>
    </row>
    <row r="4" spans="1:9">
      <c r="A4" s="18">
        <v>2</v>
      </c>
      <c r="B4" s="75" t="s">
        <v>137</v>
      </c>
      <c r="C4" s="87" t="s">
        <v>138</v>
      </c>
      <c r="D4" s="87" t="s">
        <v>136</v>
      </c>
      <c r="E4" s="20" t="s">
        <v>43</v>
      </c>
      <c r="F4" s="24">
        <v>3</v>
      </c>
      <c r="G4" s="22">
        <v>252</v>
      </c>
      <c r="H4" s="23">
        <v>350</v>
      </c>
      <c r="I4" s="65" t="s">
        <v>249</v>
      </c>
    </row>
    <row r="5" spans="1:9">
      <c r="A5" s="18">
        <v>3</v>
      </c>
      <c r="B5" s="75" t="s">
        <v>68</v>
      </c>
      <c r="C5" s="87" t="s">
        <v>127</v>
      </c>
      <c r="D5" s="87" t="s">
        <v>136</v>
      </c>
      <c r="E5" s="20" t="s">
        <v>147</v>
      </c>
      <c r="F5" s="5">
        <v>2</v>
      </c>
      <c r="G5" s="21">
        <v>157</v>
      </c>
      <c r="H5" s="23">
        <v>369</v>
      </c>
      <c r="I5" s="65" t="s">
        <v>245</v>
      </c>
    </row>
    <row r="6" spans="1:9">
      <c r="A6" s="18">
        <v>4</v>
      </c>
      <c r="B6" s="75" t="s">
        <v>68</v>
      </c>
      <c r="C6" s="87" t="s">
        <v>128</v>
      </c>
      <c r="D6" s="87" t="s">
        <v>136</v>
      </c>
      <c r="E6" s="20" t="s">
        <v>147</v>
      </c>
      <c r="F6" s="24">
        <v>3</v>
      </c>
      <c r="G6" s="22">
        <v>168</v>
      </c>
      <c r="H6" s="23">
        <v>500</v>
      </c>
      <c r="I6" s="65" t="s">
        <v>245</v>
      </c>
    </row>
    <row r="7" spans="1:9" s="99" customFormat="1">
      <c r="A7" s="90"/>
      <c r="B7" s="91" t="s">
        <v>68</v>
      </c>
      <c r="C7" s="299" t="s">
        <v>144</v>
      </c>
      <c r="D7" s="319" t="s">
        <v>145</v>
      </c>
      <c r="E7" s="92" t="s">
        <v>146</v>
      </c>
      <c r="F7" s="255">
        <v>3</v>
      </c>
      <c r="G7" s="94">
        <v>1420</v>
      </c>
      <c r="H7" s="95">
        <v>2999</v>
      </c>
      <c r="I7" s="253" t="s">
        <v>245</v>
      </c>
    </row>
    <row r="8" spans="1:9" s="99" customFormat="1">
      <c r="A8" s="90"/>
      <c r="B8" s="91" t="s">
        <v>227</v>
      </c>
      <c r="C8" s="299" t="s">
        <v>228</v>
      </c>
      <c r="D8" s="319" t="s">
        <v>231</v>
      </c>
      <c r="E8" s="92" t="s">
        <v>42</v>
      </c>
      <c r="F8" s="255">
        <v>2</v>
      </c>
      <c r="G8" s="94">
        <v>410</v>
      </c>
      <c r="H8" s="95">
        <v>869</v>
      </c>
      <c r="I8" s="253" t="s">
        <v>262</v>
      </c>
    </row>
    <row r="9" spans="1:9" s="99" customFormat="1">
      <c r="A9" s="90"/>
      <c r="B9" s="91" t="s">
        <v>227</v>
      </c>
      <c r="C9" s="299" t="s">
        <v>229</v>
      </c>
      <c r="D9" s="319" t="s">
        <v>230</v>
      </c>
      <c r="E9" s="92" t="s">
        <v>42</v>
      </c>
      <c r="F9" s="255">
        <v>2</v>
      </c>
      <c r="G9" s="94">
        <v>590</v>
      </c>
      <c r="H9" s="95">
        <v>975</v>
      </c>
      <c r="I9" s="253" t="s">
        <v>262</v>
      </c>
    </row>
    <row r="10" spans="1:9">
      <c r="A10" s="18">
        <v>5</v>
      </c>
      <c r="B10" s="75" t="s">
        <v>141</v>
      </c>
      <c r="C10" s="87" t="s">
        <v>143</v>
      </c>
      <c r="D10" s="87" t="s">
        <v>136</v>
      </c>
      <c r="E10" s="20" t="s">
        <v>142</v>
      </c>
      <c r="F10" s="24">
        <v>2</v>
      </c>
      <c r="G10" s="22">
        <v>200</v>
      </c>
      <c r="H10" s="23">
        <v>139</v>
      </c>
      <c r="I10" s="65" t="s">
        <v>249</v>
      </c>
    </row>
    <row r="11" spans="1:9">
      <c r="A11" s="43"/>
      <c r="B11" s="43"/>
      <c r="C11" s="54"/>
      <c r="D11" s="54"/>
      <c r="E11" s="44"/>
      <c r="F11" s="104" t="s">
        <v>379</v>
      </c>
      <c r="G11" s="46">
        <f>MIN(G3:G10)</f>
        <v>157</v>
      </c>
      <c r="H11" s="100">
        <f>MIN(H3:H10)</f>
        <v>139</v>
      </c>
      <c r="I11" s="37">
        <f ca="1">NOW()</f>
        <v>41738.554235995369</v>
      </c>
    </row>
    <row r="12" spans="1:9">
      <c r="A12" s="47"/>
      <c r="B12" s="58"/>
      <c r="C12" s="59"/>
      <c r="D12" s="60"/>
      <c r="E12" s="61"/>
      <c r="F12" s="49" t="s">
        <v>380</v>
      </c>
      <c r="G12" s="46">
        <f>MAX(G4:G11)</f>
        <v>1420</v>
      </c>
      <c r="H12" s="100">
        <f>MAX(H4:H11)</f>
        <v>2999</v>
      </c>
      <c r="I12"/>
    </row>
    <row r="13" spans="1:9">
      <c r="B13" t="s">
        <v>548</v>
      </c>
      <c r="F13" s="49" t="s">
        <v>381</v>
      </c>
      <c r="G13" s="46">
        <f>AVERAGE(G5:G12)</f>
        <v>565.25</v>
      </c>
      <c r="H13" s="100">
        <f>AVERAGE(H5:H12)</f>
        <v>1123.625</v>
      </c>
      <c r="I13"/>
    </row>
    <row r="14" spans="1:9">
      <c r="B14" s="250" t="s">
        <v>557</v>
      </c>
      <c r="C14" s="250"/>
      <c r="H14" s="41"/>
      <c r="I14"/>
    </row>
    <row r="15" spans="1:9">
      <c r="H15" s="41"/>
      <c r="I15"/>
    </row>
  </sheetData>
  <sortState ref="B2:I9">
    <sortCondition ref="B2:B9"/>
    <sortCondition ref="C2:C9"/>
  </sortState>
  <phoneticPr fontId="9" type="noConversion"/>
  <hyperlinks>
    <hyperlink ref="I5" r:id="rId1"/>
    <hyperlink ref="I6" r:id="rId2"/>
    <hyperlink ref="I7" r:id="rId3"/>
    <hyperlink ref="I3" r:id="rId4"/>
    <hyperlink ref="I4" r:id="rId5"/>
    <hyperlink ref="I8" r:id="rId6"/>
    <hyperlink ref="I9" r:id="rId7"/>
    <hyperlink ref="I10" r:id="rId8"/>
  </hyperlinks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56"/>
  <sheetViews>
    <sheetView zoomScale="75" zoomScaleNormal="75" zoomScalePageLayoutView="75" workbookViewId="0">
      <pane ySplit="1" topLeftCell="A11" activePane="bottomLeft" state="frozen"/>
      <selection pane="bottomLeft" activeCell="S26" sqref="S26"/>
    </sheetView>
  </sheetViews>
  <sheetFormatPr baseColWidth="10" defaultColWidth="8.83203125" defaultRowHeight="15" x14ac:dyDescent="0"/>
  <cols>
    <col min="1" max="1" width="3.6640625" customWidth="1"/>
    <col min="2" max="2" width="9" bestFit="1" customWidth="1"/>
    <col min="3" max="3" width="12.6640625" bestFit="1" customWidth="1"/>
    <col min="4" max="4" width="13.1640625" bestFit="1" customWidth="1"/>
    <col min="5" max="5" width="5" style="163" bestFit="1" customWidth="1"/>
    <col min="6" max="6" width="4.6640625" style="27" bestFit="1" customWidth="1"/>
    <col min="7" max="7" width="4.6640625" style="28" bestFit="1" customWidth="1"/>
    <col min="8" max="8" width="4.83203125" bestFit="1" customWidth="1"/>
    <col min="9" max="9" width="4.6640625" bestFit="1" customWidth="1"/>
    <col min="10" max="10" width="5.33203125" bestFit="1" customWidth="1"/>
    <col min="11" max="11" width="7.1640625" bestFit="1" customWidth="1"/>
    <col min="12" max="13" width="4.6640625" bestFit="1" customWidth="1"/>
    <col min="14" max="14" width="4.83203125" bestFit="1" customWidth="1"/>
    <col min="15" max="15" width="4.6640625" bestFit="1" customWidth="1"/>
    <col min="16" max="16" width="4.6640625" style="29" bestFit="1" customWidth="1"/>
    <col min="17" max="17" width="5" style="30" bestFit="1" customWidth="1"/>
    <col min="18" max="18" width="8.6640625" bestFit="1" customWidth="1"/>
    <col min="19" max="19" width="22.33203125" bestFit="1" customWidth="1"/>
  </cols>
  <sheetData>
    <row r="1" spans="1:19" s="17" customFormat="1" ht="132">
      <c r="A1" s="126" t="s">
        <v>27</v>
      </c>
      <c r="B1" s="124" t="s">
        <v>28</v>
      </c>
      <c r="C1" s="124" t="s">
        <v>29</v>
      </c>
      <c r="D1" s="124" t="s">
        <v>30</v>
      </c>
      <c r="E1" s="161" t="s">
        <v>31</v>
      </c>
      <c r="F1" s="126" t="s">
        <v>32</v>
      </c>
      <c r="G1" s="127" t="s">
        <v>261</v>
      </c>
      <c r="H1" s="126" t="s">
        <v>33</v>
      </c>
      <c r="I1" s="126" t="s">
        <v>34</v>
      </c>
      <c r="J1" s="126" t="s">
        <v>35</v>
      </c>
      <c r="K1" s="126" t="s">
        <v>36</v>
      </c>
      <c r="L1" s="126" t="s">
        <v>263</v>
      </c>
      <c r="M1" s="126" t="s">
        <v>264</v>
      </c>
      <c r="N1" s="126" t="s">
        <v>259</v>
      </c>
      <c r="O1" s="126" t="s">
        <v>260</v>
      </c>
      <c r="P1" s="126" t="s">
        <v>37</v>
      </c>
      <c r="Q1" s="128" t="s">
        <v>38</v>
      </c>
      <c r="R1" s="128" t="s">
        <v>39</v>
      </c>
      <c r="S1" s="162" t="s">
        <v>14</v>
      </c>
    </row>
    <row r="2" spans="1:19" s="99" customFormat="1" ht="15" customHeight="1">
      <c r="A2" s="166">
        <v>37</v>
      </c>
      <c r="B2" s="305" t="s">
        <v>219</v>
      </c>
      <c r="C2" s="305" t="s">
        <v>266</v>
      </c>
      <c r="D2" s="306" t="s">
        <v>296</v>
      </c>
      <c r="E2" s="276">
        <v>12</v>
      </c>
      <c r="F2" s="307">
        <v>330</v>
      </c>
      <c r="G2" s="308">
        <v>1.33</v>
      </c>
      <c r="H2" s="258">
        <v>3500</v>
      </c>
      <c r="I2" s="258">
        <v>60</v>
      </c>
      <c r="J2" s="309">
        <v>3.1E-2</v>
      </c>
      <c r="K2" s="262">
        <v>10</v>
      </c>
      <c r="L2" s="262">
        <v>100</v>
      </c>
      <c r="M2" s="308">
        <v>5.98</v>
      </c>
      <c r="N2" s="258">
        <v>40</v>
      </c>
      <c r="O2" s="265">
        <v>68.099999999999994</v>
      </c>
      <c r="P2" s="262">
        <v>460</v>
      </c>
      <c r="Q2" s="262">
        <v>80</v>
      </c>
      <c r="R2" s="165">
        <v>199.99</v>
      </c>
      <c r="S2" s="282" t="s">
        <v>384</v>
      </c>
    </row>
    <row r="3" spans="1:19" s="99" customFormat="1">
      <c r="A3" s="166"/>
      <c r="B3" s="305" t="s">
        <v>219</v>
      </c>
      <c r="C3" s="305" t="s">
        <v>266</v>
      </c>
      <c r="D3" s="306" t="s">
        <v>297</v>
      </c>
      <c r="E3" s="276">
        <v>12</v>
      </c>
      <c r="F3" s="307">
        <v>450</v>
      </c>
      <c r="G3" s="308">
        <v>1.85</v>
      </c>
      <c r="H3" s="258">
        <v>3300</v>
      </c>
      <c r="I3" s="258">
        <v>75</v>
      </c>
      <c r="J3" s="309">
        <v>0.02</v>
      </c>
      <c r="K3" s="262">
        <v>10</v>
      </c>
      <c r="L3" s="262">
        <v>100</v>
      </c>
      <c r="M3" s="308">
        <v>5.98</v>
      </c>
      <c r="N3" s="258">
        <v>40</v>
      </c>
      <c r="O3" s="265">
        <v>68.099999999999994</v>
      </c>
      <c r="P3" s="262">
        <v>460</v>
      </c>
      <c r="Q3" s="262">
        <v>100</v>
      </c>
      <c r="R3" s="165">
        <v>199.99</v>
      </c>
      <c r="S3" s="282" t="s">
        <v>384</v>
      </c>
    </row>
    <row r="4" spans="1:19" s="99" customFormat="1">
      <c r="A4" s="166"/>
      <c r="B4" s="305" t="s">
        <v>219</v>
      </c>
      <c r="C4" s="305" t="s">
        <v>266</v>
      </c>
      <c r="D4" s="306" t="s">
        <v>298</v>
      </c>
      <c r="E4" s="276">
        <v>12</v>
      </c>
      <c r="F4" s="307">
        <v>500</v>
      </c>
      <c r="G4" s="308">
        <v>2.02</v>
      </c>
      <c r="H4" s="258">
        <v>4600</v>
      </c>
      <c r="I4" s="258">
        <v>84</v>
      </c>
      <c r="J4" s="309">
        <v>1.6E-2</v>
      </c>
      <c r="K4" s="262">
        <v>10</v>
      </c>
      <c r="L4" s="262">
        <v>100</v>
      </c>
      <c r="M4" s="308">
        <v>5.98</v>
      </c>
      <c r="N4" s="258">
        <v>40</v>
      </c>
      <c r="O4" s="265">
        <v>68.099999999999994</v>
      </c>
      <c r="P4" s="262">
        <v>460</v>
      </c>
      <c r="Q4" s="262">
        <v>100</v>
      </c>
      <c r="R4" s="165">
        <v>199.99</v>
      </c>
      <c r="S4" s="282" t="s">
        <v>384</v>
      </c>
    </row>
    <row r="5" spans="1:19" s="99" customFormat="1">
      <c r="A5" s="166"/>
      <c r="B5" s="305" t="s">
        <v>219</v>
      </c>
      <c r="C5" s="305" t="s">
        <v>266</v>
      </c>
      <c r="D5" s="306" t="s">
        <v>299</v>
      </c>
      <c r="E5" s="276">
        <v>12</v>
      </c>
      <c r="F5" s="307">
        <v>530</v>
      </c>
      <c r="G5" s="308">
        <v>2.15</v>
      </c>
      <c r="H5" s="258">
        <v>4400</v>
      </c>
      <c r="I5" s="258">
        <v>80</v>
      </c>
      <c r="J5" s="309">
        <v>1.4999999999999999E-2</v>
      </c>
      <c r="K5" s="262">
        <v>10</v>
      </c>
      <c r="L5" s="262">
        <v>100</v>
      </c>
      <c r="M5" s="308">
        <v>5.98</v>
      </c>
      <c r="N5" s="258">
        <v>40</v>
      </c>
      <c r="O5" s="265">
        <v>68.099999999999994</v>
      </c>
      <c r="P5" s="262">
        <v>460</v>
      </c>
      <c r="Q5" s="262">
        <v>100</v>
      </c>
      <c r="R5" s="165">
        <v>199.99</v>
      </c>
      <c r="S5" s="282" t="s">
        <v>384</v>
      </c>
    </row>
    <row r="6" spans="1:19" s="99" customFormat="1">
      <c r="A6" s="166"/>
      <c r="B6" s="305" t="s">
        <v>219</v>
      </c>
      <c r="C6" s="305" t="s">
        <v>266</v>
      </c>
      <c r="D6" s="306" t="s">
        <v>300</v>
      </c>
      <c r="E6" s="276">
        <v>12</v>
      </c>
      <c r="F6" s="307">
        <v>560</v>
      </c>
      <c r="G6" s="308">
        <v>2.2400000000000002</v>
      </c>
      <c r="H6" s="258">
        <v>5200</v>
      </c>
      <c r="I6" s="258">
        <v>100</v>
      </c>
      <c r="J6" s="309">
        <v>1.4E-2</v>
      </c>
      <c r="K6" s="262">
        <v>10</v>
      </c>
      <c r="L6" s="262">
        <v>100</v>
      </c>
      <c r="M6" s="308">
        <v>5.98</v>
      </c>
      <c r="N6" s="258">
        <v>40</v>
      </c>
      <c r="O6" s="265">
        <v>68.099999999999994</v>
      </c>
      <c r="P6" s="262">
        <v>460</v>
      </c>
      <c r="Q6" s="262">
        <v>120</v>
      </c>
      <c r="R6" s="165">
        <v>199.99</v>
      </c>
      <c r="S6" s="282" t="s">
        <v>384</v>
      </c>
    </row>
    <row r="7" spans="1:19" s="113" customFormat="1">
      <c r="A7" s="142"/>
      <c r="B7" s="143"/>
      <c r="C7" s="143"/>
      <c r="D7" s="114"/>
      <c r="E7" s="164"/>
      <c r="F7" s="145"/>
      <c r="G7" s="146"/>
      <c r="H7" s="147"/>
      <c r="I7" s="147"/>
      <c r="J7" s="148"/>
      <c r="K7" s="149"/>
      <c r="L7" s="149"/>
      <c r="M7" s="146"/>
      <c r="N7" s="147"/>
      <c r="O7" s="150"/>
      <c r="P7" s="149"/>
      <c r="Q7" s="149"/>
      <c r="R7" s="151"/>
      <c r="S7" s="144"/>
    </row>
    <row r="8" spans="1:19" s="113" customFormat="1">
      <c r="A8" s="142">
        <v>1</v>
      </c>
      <c r="B8" s="143" t="s">
        <v>219</v>
      </c>
      <c r="C8" s="143" t="s">
        <v>258</v>
      </c>
      <c r="D8" s="114" t="s">
        <v>302</v>
      </c>
      <c r="E8" s="244">
        <v>6</v>
      </c>
      <c r="F8" s="145">
        <v>360</v>
      </c>
      <c r="G8" s="146">
        <v>0.34</v>
      </c>
      <c r="H8" s="147">
        <v>510</v>
      </c>
      <c r="I8" s="147">
        <v>23</v>
      </c>
      <c r="J8" s="148">
        <v>0.152</v>
      </c>
      <c r="K8" s="149">
        <v>14</v>
      </c>
      <c r="L8" s="150">
        <v>36.5</v>
      </c>
      <c r="M8" s="146">
        <v>3.98</v>
      </c>
      <c r="N8" s="147">
        <v>40</v>
      </c>
      <c r="O8" s="150">
        <v>32.17</v>
      </c>
      <c r="P8" s="149">
        <v>152</v>
      </c>
      <c r="Q8" s="149">
        <v>30</v>
      </c>
      <c r="R8" s="151">
        <v>99.99</v>
      </c>
      <c r="S8" s="144" t="s">
        <v>384</v>
      </c>
    </row>
    <row r="9" spans="1:19" s="113" customFormat="1">
      <c r="A9" s="142">
        <v>2</v>
      </c>
      <c r="B9" s="143" t="s">
        <v>219</v>
      </c>
      <c r="C9" s="143" t="s">
        <v>258</v>
      </c>
      <c r="D9" s="114" t="s">
        <v>301</v>
      </c>
      <c r="E9" s="244">
        <v>8</v>
      </c>
      <c r="F9" s="145">
        <v>340</v>
      </c>
      <c r="G9" s="146">
        <v>0.47</v>
      </c>
      <c r="H9" s="147">
        <v>740</v>
      </c>
      <c r="I9" s="147">
        <v>25</v>
      </c>
      <c r="J9" s="148">
        <v>0.108</v>
      </c>
      <c r="K9" s="149">
        <v>14</v>
      </c>
      <c r="L9" s="149">
        <v>41</v>
      </c>
      <c r="M9" s="146">
        <v>3.98</v>
      </c>
      <c r="N9" s="147">
        <v>40</v>
      </c>
      <c r="O9" s="150">
        <v>37.17</v>
      </c>
      <c r="P9" s="149">
        <v>194</v>
      </c>
      <c r="Q9" s="149">
        <v>30</v>
      </c>
      <c r="R9" s="151">
        <v>109.99</v>
      </c>
      <c r="S9" s="144" t="s">
        <v>384</v>
      </c>
    </row>
    <row r="10" spans="1:19" s="113" customFormat="1">
      <c r="A10" s="142"/>
      <c r="B10" s="143"/>
      <c r="C10" s="143"/>
      <c r="D10" s="114"/>
      <c r="E10" s="164"/>
      <c r="F10" s="145"/>
      <c r="G10" s="146"/>
      <c r="H10" s="147"/>
      <c r="I10" s="147"/>
      <c r="J10" s="148"/>
      <c r="K10" s="149"/>
      <c r="L10" s="149"/>
      <c r="M10" s="146"/>
      <c r="N10" s="147"/>
      <c r="O10" s="150"/>
      <c r="P10" s="149"/>
      <c r="Q10" s="149"/>
      <c r="R10" s="151"/>
      <c r="S10" s="144"/>
    </row>
    <row r="11" spans="1:19" s="113" customFormat="1">
      <c r="A11" s="142">
        <v>3</v>
      </c>
      <c r="B11" s="143" t="s">
        <v>219</v>
      </c>
      <c r="C11" s="143" t="s">
        <v>267</v>
      </c>
      <c r="D11" s="114" t="s">
        <v>303</v>
      </c>
      <c r="E11" s="244">
        <v>6</v>
      </c>
      <c r="F11" s="145">
        <v>420</v>
      </c>
      <c r="G11" s="146">
        <v>0.91</v>
      </c>
      <c r="H11" s="147">
        <v>1500</v>
      </c>
      <c r="I11" s="147">
        <v>70</v>
      </c>
      <c r="J11" s="148">
        <v>3.4000000000000002E-2</v>
      </c>
      <c r="K11" s="149">
        <v>14</v>
      </c>
      <c r="L11" s="150">
        <v>78.400000000000006</v>
      </c>
      <c r="M11" s="146">
        <v>5.98</v>
      </c>
      <c r="N11" s="147">
        <v>40</v>
      </c>
      <c r="O11" s="150">
        <v>46.15</v>
      </c>
      <c r="P11" s="149">
        <v>288</v>
      </c>
      <c r="Q11" s="149">
        <v>80</v>
      </c>
      <c r="R11" s="151">
        <v>139.99</v>
      </c>
      <c r="S11" s="144" t="s">
        <v>384</v>
      </c>
    </row>
    <row r="12" spans="1:19" s="113" customFormat="1">
      <c r="A12" s="142">
        <v>4</v>
      </c>
      <c r="B12" s="143" t="s">
        <v>219</v>
      </c>
      <c r="C12" s="143" t="s">
        <v>267</v>
      </c>
      <c r="D12" s="114" t="s">
        <v>304</v>
      </c>
      <c r="E12" s="244">
        <v>6</v>
      </c>
      <c r="F12" s="145">
        <v>540</v>
      </c>
      <c r="G12" s="146">
        <v>1.22</v>
      </c>
      <c r="H12" s="147">
        <v>1850</v>
      </c>
      <c r="I12" s="147">
        <v>85</v>
      </c>
      <c r="J12" s="148">
        <v>3.4000000000000002E-2</v>
      </c>
      <c r="K12" s="149">
        <v>14</v>
      </c>
      <c r="L12" s="150">
        <v>78.400000000000006</v>
      </c>
      <c r="M12" s="146">
        <v>5.98</v>
      </c>
      <c r="N12" s="147">
        <v>40</v>
      </c>
      <c r="O12" s="150">
        <v>46.15</v>
      </c>
      <c r="P12" s="149">
        <v>288</v>
      </c>
      <c r="Q12" s="149">
        <v>90</v>
      </c>
      <c r="R12" s="151">
        <v>139.99</v>
      </c>
      <c r="S12" s="144" t="s">
        <v>384</v>
      </c>
    </row>
    <row r="13" spans="1:19" s="113" customFormat="1">
      <c r="A13" s="142">
        <v>5</v>
      </c>
      <c r="B13" s="143" t="s">
        <v>219</v>
      </c>
      <c r="C13" s="143" t="s">
        <v>267</v>
      </c>
      <c r="D13" s="114" t="s">
        <v>305</v>
      </c>
      <c r="E13" s="244">
        <v>5</v>
      </c>
      <c r="F13" s="145">
        <v>630</v>
      </c>
      <c r="G13" s="146">
        <v>1.54</v>
      </c>
      <c r="H13" s="147">
        <v>1500</v>
      </c>
      <c r="I13" s="147">
        <v>95</v>
      </c>
      <c r="J13" s="148">
        <v>3.4000000000000002E-2</v>
      </c>
      <c r="K13" s="149">
        <v>14</v>
      </c>
      <c r="L13" s="150">
        <v>78.400000000000006</v>
      </c>
      <c r="M13" s="146">
        <v>5.98</v>
      </c>
      <c r="N13" s="147">
        <v>40</v>
      </c>
      <c r="O13" s="150">
        <v>46.15</v>
      </c>
      <c r="P13" s="149">
        <v>288</v>
      </c>
      <c r="Q13" s="149">
        <v>100</v>
      </c>
      <c r="R13" s="151">
        <v>139.99</v>
      </c>
      <c r="S13" s="144" t="s">
        <v>384</v>
      </c>
    </row>
    <row r="14" spans="1:19" s="113" customFormat="1">
      <c r="A14" s="142"/>
      <c r="B14" s="143"/>
      <c r="C14" s="143"/>
      <c r="D14" s="114"/>
      <c r="E14" s="164"/>
      <c r="F14" s="145"/>
      <c r="G14" s="146"/>
      <c r="H14" s="147"/>
      <c r="I14" s="147"/>
      <c r="J14" s="148"/>
      <c r="K14" s="149"/>
      <c r="L14" s="150"/>
      <c r="M14" s="146"/>
      <c r="N14" s="147"/>
      <c r="O14" s="150"/>
      <c r="P14" s="149"/>
      <c r="Q14" s="149"/>
      <c r="R14" s="151"/>
      <c r="S14" s="144"/>
    </row>
    <row r="15" spans="1:19" s="99" customFormat="1">
      <c r="A15" s="166"/>
      <c r="B15" s="305" t="s">
        <v>219</v>
      </c>
      <c r="C15" s="305" t="s">
        <v>267</v>
      </c>
      <c r="D15" s="306" t="s">
        <v>306</v>
      </c>
      <c r="E15" s="276">
        <v>8</v>
      </c>
      <c r="F15" s="307">
        <v>330</v>
      </c>
      <c r="G15" s="308">
        <v>0.74</v>
      </c>
      <c r="H15" s="258">
        <v>2000</v>
      </c>
      <c r="I15" s="258">
        <v>75</v>
      </c>
      <c r="J15" s="309">
        <v>3.6999999999999998E-2</v>
      </c>
      <c r="K15" s="262">
        <v>14</v>
      </c>
      <c r="L15" s="262">
        <v>85</v>
      </c>
      <c r="M15" s="308">
        <v>5.98</v>
      </c>
      <c r="N15" s="258">
        <v>40</v>
      </c>
      <c r="O15" s="265">
        <v>54.1</v>
      </c>
      <c r="P15" s="314">
        <v>353</v>
      </c>
      <c r="Q15" s="262">
        <v>80</v>
      </c>
      <c r="R15" s="310">
        <v>149.99</v>
      </c>
      <c r="S15" s="282" t="s">
        <v>384</v>
      </c>
    </row>
    <row r="16" spans="1:19" s="99" customFormat="1">
      <c r="A16" s="166"/>
      <c r="B16" s="305" t="s">
        <v>219</v>
      </c>
      <c r="C16" s="305" t="s">
        <v>267</v>
      </c>
      <c r="D16" s="306" t="s">
        <v>307</v>
      </c>
      <c r="E16" s="276">
        <v>7</v>
      </c>
      <c r="F16" s="307">
        <v>440</v>
      </c>
      <c r="G16" s="308">
        <v>1.1000000000000001</v>
      </c>
      <c r="H16" s="258">
        <v>2000</v>
      </c>
      <c r="I16" s="258">
        <v>85</v>
      </c>
      <c r="J16" s="309">
        <v>2.5000000000000001E-2</v>
      </c>
      <c r="K16" s="262">
        <v>14</v>
      </c>
      <c r="L16" s="262">
        <v>85</v>
      </c>
      <c r="M16" s="308">
        <v>5.98</v>
      </c>
      <c r="N16" s="258">
        <v>40</v>
      </c>
      <c r="O16" s="265">
        <v>54.1</v>
      </c>
      <c r="P16" s="314">
        <v>353</v>
      </c>
      <c r="Q16" s="262">
        <v>90</v>
      </c>
      <c r="R16" s="310">
        <v>149.99</v>
      </c>
      <c r="S16" s="282" t="s">
        <v>384</v>
      </c>
    </row>
    <row r="17" spans="1:19" s="99" customFormat="1">
      <c r="A17" s="166"/>
      <c r="B17" s="305" t="s">
        <v>219</v>
      </c>
      <c r="C17" s="305" t="s">
        <v>267</v>
      </c>
      <c r="D17" s="306" t="s">
        <v>308</v>
      </c>
      <c r="E17" s="276">
        <v>6</v>
      </c>
      <c r="F17" s="307">
        <v>520</v>
      </c>
      <c r="G17" s="308">
        <v>1.4</v>
      </c>
      <c r="H17" s="258">
        <v>2000</v>
      </c>
      <c r="I17" s="258">
        <v>100</v>
      </c>
      <c r="J17" s="309">
        <v>1.6E-2</v>
      </c>
      <c r="K17" s="262">
        <v>14</v>
      </c>
      <c r="L17" s="262">
        <v>85</v>
      </c>
      <c r="M17" s="308">
        <v>5.98</v>
      </c>
      <c r="N17" s="258">
        <v>40</v>
      </c>
      <c r="O17" s="265">
        <v>54.1</v>
      </c>
      <c r="P17" s="314">
        <v>353</v>
      </c>
      <c r="Q17" s="262">
        <v>110</v>
      </c>
      <c r="R17" s="310">
        <v>149.99</v>
      </c>
      <c r="S17" s="282" t="s">
        <v>384</v>
      </c>
    </row>
    <row r="18" spans="1:19" s="113" customFormat="1">
      <c r="A18" s="142"/>
      <c r="B18" s="143"/>
      <c r="C18" s="143"/>
      <c r="D18" s="114"/>
      <c r="E18" s="164"/>
      <c r="F18" s="145"/>
      <c r="G18" s="146"/>
      <c r="H18" s="147"/>
      <c r="I18" s="147"/>
      <c r="J18" s="148"/>
      <c r="K18" s="149"/>
      <c r="L18" s="149"/>
      <c r="M18" s="146"/>
      <c r="N18" s="147"/>
      <c r="O18" s="150"/>
      <c r="P18" s="149"/>
      <c r="Q18" s="149"/>
      <c r="R18" s="151"/>
      <c r="S18" s="144"/>
    </row>
    <row r="19" spans="1:19" s="99" customFormat="1">
      <c r="A19" s="166"/>
      <c r="B19" s="305" t="s">
        <v>219</v>
      </c>
      <c r="C19" s="305" t="s">
        <v>267</v>
      </c>
      <c r="D19" s="306" t="s">
        <v>309</v>
      </c>
      <c r="E19" s="276">
        <v>12</v>
      </c>
      <c r="F19" s="307">
        <v>250</v>
      </c>
      <c r="G19" s="308">
        <v>0.69</v>
      </c>
      <c r="H19" s="258">
        <v>2700</v>
      </c>
      <c r="I19" s="258">
        <v>65</v>
      </c>
      <c r="J19" s="309">
        <v>3.6999999999999998E-2</v>
      </c>
      <c r="K19" s="262">
        <v>14</v>
      </c>
      <c r="L19" s="262">
        <v>95</v>
      </c>
      <c r="M19" s="308">
        <v>7.98</v>
      </c>
      <c r="N19" s="258">
        <v>40</v>
      </c>
      <c r="O19" s="265">
        <v>64.900000000000006</v>
      </c>
      <c r="P19" s="262">
        <v>450</v>
      </c>
      <c r="Q19" s="262">
        <v>70</v>
      </c>
      <c r="R19" s="165">
        <v>169.99</v>
      </c>
      <c r="S19" s="282" t="s">
        <v>384</v>
      </c>
    </row>
    <row r="20" spans="1:19" s="99" customFormat="1">
      <c r="A20" s="166"/>
      <c r="B20" s="305" t="s">
        <v>219</v>
      </c>
      <c r="C20" s="305" t="s">
        <v>267</v>
      </c>
      <c r="D20" s="306" t="s">
        <v>310</v>
      </c>
      <c r="E20" s="276">
        <v>11</v>
      </c>
      <c r="F20" s="307">
        <v>330</v>
      </c>
      <c r="G20" s="308">
        <v>1.41</v>
      </c>
      <c r="H20" s="258">
        <v>2400</v>
      </c>
      <c r="I20" s="258">
        <v>65</v>
      </c>
      <c r="J20" s="309">
        <v>3.1E-2</v>
      </c>
      <c r="K20" s="262">
        <v>10</v>
      </c>
      <c r="L20" s="262">
        <v>95</v>
      </c>
      <c r="M20" s="308">
        <v>7.98</v>
      </c>
      <c r="N20" s="258">
        <v>40</v>
      </c>
      <c r="O20" s="265">
        <v>64.900000000000006</v>
      </c>
      <c r="P20" s="262">
        <v>435</v>
      </c>
      <c r="Q20" s="262">
        <v>70</v>
      </c>
      <c r="R20" s="165">
        <v>169.99</v>
      </c>
      <c r="S20" s="282" t="s">
        <v>384</v>
      </c>
    </row>
    <row r="21" spans="1:19" s="99" customFormat="1">
      <c r="A21" s="166"/>
      <c r="B21" s="305" t="s">
        <v>219</v>
      </c>
      <c r="C21" s="305" t="s">
        <v>267</v>
      </c>
      <c r="D21" s="306" t="s">
        <v>311</v>
      </c>
      <c r="E21" s="276">
        <v>11</v>
      </c>
      <c r="F21" s="307">
        <v>380</v>
      </c>
      <c r="G21" s="308">
        <v>1.52</v>
      </c>
      <c r="H21" s="258">
        <v>2600</v>
      </c>
      <c r="I21" s="258">
        <v>70</v>
      </c>
      <c r="J21" s="309">
        <v>2.5000000000000001E-2</v>
      </c>
      <c r="K21" s="262">
        <v>10</v>
      </c>
      <c r="L21" s="262">
        <v>95</v>
      </c>
      <c r="M21" s="308">
        <v>7.98</v>
      </c>
      <c r="N21" s="258">
        <v>40</v>
      </c>
      <c r="O21" s="265">
        <v>64.900000000000006</v>
      </c>
      <c r="P21" s="262">
        <v>435</v>
      </c>
      <c r="Q21" s="262">
        <v>80</v>
      </c>
      <c r="R21" s="165">
        <v>169.99</v>
      </c>
      <c r="S21" s="282" t="s">
        <v>384</v>
      </c>
    </row>
    <row r="22" spans="1:19" s="99" customFormat="1">
      <c r="A22" s="166"/>
      <c r="B22" s="305" t="s">
        <v>69</v>
      </c>
      <c r="C22" s="305" t="s">
        <v>70</v>
      </c>
      <c r="D22" s="306" t="s">
        <v>312</v>
      </c>
      <c r="E22" s="311" t="s">
        <v>71</v>
      </c>
      <c r="F22" s="307">
        <v>330</v>
      </c>
      <c r="G22" s="308">
        <v>1.1000000000000001</v>
      </c>
      <c r="H22" s="258">
        <v>750</v>
      </c>
      <c r="I22" s="258">
        <v>25</v>
      </c>
      <c r="J22" s="309">
        <v>8.5000000000000006E-2</v>
      </c>
      <c r="K22" s="262">
        <v>18</v>
      </c>
      <c r="L22" s="262">
        <v>14</v>
      </c>
      <c r="M22" s="262">
        <v>4</v>
      </c>
      <c r="N22" s="258">
        <v>44.8</v>
      </c>
      <c r="O22" s="265">
        <v>34.5</v>
      </c>
      <c r="P22" s="262">
        <v>149</v>
      </c>
      <c r="Q22" s="262">
        <v>30</v>
      </c>
      <c r="R22" s="165">
        <v>194.9</v>
      </c>
      <c r="S22" s="282" t="s">
        <v>382</v>
      </c>
    </row>
    <row r="23" spans="1:19" s="113" customFormat="1">
      <c r="A23" s="142"/>
      <c r="B23" s="143"/>
      <c r="C23" s="143"/>
      <c r="D23" s="114"/>
      <c r="E23" s="164"/>
      <c r="F23" s="145"/>
      <c r="G23" s="146"/>
      <c r="H23" s="147"/>
      <c r="I23" s="147"/>
      <c r="J23" s="148"/>
      <c r="K23" s="149"/>
      <c r="L23" s="149"/>
      <c r="M23" s="149"/>
      <c r="N23" s="147"/>
      <c r="O23" s="150"/>
      <c r="P23" s="149"/>
      <c r="Q23" s="149"/>
      <c r="R23" s="151"/>
      <c r="S23" s="144"/>
    </row>
    <row r="24" spans="1:19" s="99" customFormat="1">
      <c r="A24" s="166"/>
      <c r="B24" s="305" t="s">
        <v>69</v>
      </c>
      <c r="C24" s="305" t="s">
        <v>270</v>
      </c>
      <c r="D24" s="306" t="s">
        <v>383</v>
      </c>
      <c r="E24" s="313" t="s">
        <v>41</v>
      </c>
      <c r="F24" s="307">
        <v>700</v>
      </c>
      <c r="G24" s="308">
        <v>0.5</v>
      </c>
      <c r="H24" s="258">
        <v>500</v>
      </c>
      <c r="I24" s="258">
        <v>25</v>
      </c>
      <c r="J24" s="309">
        <v>0.05</v>
      </c>
      <c r="K24" s="262">
        <v>14</v>
      </c>
      <c r="L24" s="262" t="s">
        <v>42</v>
      </c>
      <c r="M24" s="262">
        <v>4</v>
      </c>
      <c r="N24" s="258">
        <v>41.8</v>
      </c>
      <c r="O24" s="265">
        <v>30.75</v>
      </c>
      <c r="P24" s="262">
        <v>97</v>
      </c>
      <c r="Q24" s="262">
        <v>30</v>
      </c>
      <c r="R24" s="310">
        <v>109.9</v>
      </c>
      <c r="S24" s="282" t="s">
        <v>382</v>
      </c>
    </row>
    <row r="25" spans="1:19" s="113" customFormat="1">
      <c r="A25" s="142">
        <v>6</v>
      </c>
      <c r="B25" s="143" t="s">
        <v>69</v>
      </c>
      <c r="C25" s="143" t="s">
        <v>270</v>
      </c>
      <c r="D25" s="114" t="s">
        <v>271</v>
      </c>
      <c r="E25" s="164" t="s">
        <v>265</v>
      </c>
      <c r="F25" s="145">
        <v>400</v>
      </c>
      <c r="G25" s="146">
        <v>0.3</v>
      </c>
      <c r="H25" s="147">
        <v>850</v>
      </c>
      <c r="I25" s="147">
        <v>30</v>
      </c>
      <c r="J25" s="148">
        <v>0.11600000000000001</v>
      </c>
      <c r="K25" s="149">
        <v>14</v>
      </c>
      <c r="L25" s="149" t="s">
        <v>42</v>
      </c>
      <c r="M25" s="149">
        <v>4</v>
      </c>
      <c r="N25" s="147">
        <v>42.5</v>
      </c>
      <c r="O25" s="150">
        <v>37.5</v>
      </c>
      <c r="P25" s="149">
        <v>156</v>
      </c>
      <c r="Q25" s="149">
        <v>30</v>
      </c>
      <c r="R25" s="151">
        <v>125.9</v>
      </c>
      <c r="S25" s="144" t="s">
        <v>382</v>
      </c>
    </row>
    <row r="26" spans="1:19" s="113" customFormat="1">
      <c r="A26" s="142">
        <v>7</v>
      </c>
      <c r="B26" s="143" t="s">
        <v>69</v>
      </c>
      <c r="C26" s="143" t="s">
        <v>270</v>
      </c>
      <c r="D26" s="114" t="s">
        <v>272</v>
      </c>
      <c r="E26" s="164" t="s">
        <v>265</v>
      </c>
      <c r="F26" s="145">
        <v>420</v>
      </c>
      <c r="G26" s="146">
        <v>1.1000000000000001</v>
      </c>
      <c r="H26" s="147">
        <v>1180</v>
      </c>
      <c r="I26" s="147">
        <v>40</v>
      </c>
      <c r="J26" s="148">
        <v>3.3000000000000002E-2</v>
      </c>
      <c r="K26" s="149">
        <v>14</v>
      </c>
      <c r="L26" s="149" t="s">
        <v>42</v>
      </c>
      <c r="M26" s="149">
        <v>4</v>
      </c>
      <c r="N26" s="150">
        <v>60.7</v>
      </c>
      <c r="O26" s="150">
        <v>39.5</v>
      </c>
      <c r="P26" s="149">
        <v>255</v>
      </c>
      <c r="Q26" s="149">
        <v>40</v>
      </c>
      <c r="R26" s="151">
        <v>149.9</v>
      </c>
      <c r="S26" s="144" t="s">
        <v>382</v>
      </c>
    </row>
    <row r="27" spans="1:19" s="113" customFormat="1">
      <c r="A27" s="142">
        <v>8</v>
      </c>
      <c r="B27" s="143" t="s">
        <v>69</v>
      </c>
      <c r="C27" s="143" t="s">
        <v>270</v>
      </c>
      <c r="D27" s="114" t="s">
        <v>273</v>
      </c>
      <c r="E27" s="164" t="s">
        <v>265</v>
      </c>
      <c r="F27" s="145">
        <v>490</v>
      </c>
      <c r="G27" s="146">
        <v>1.1000000000000001</v>
      </c>
      <c r="H27" s="147">
        <v>1300</v>
      </c>
      <c r="I27" s="147">
        <v>44</v>
      </c>
      <c r="J27" s="148">
        <v>2.1000000000000001E-2</v>
      </c>
      <c r="K27" s="149">
        <v>14</v>
      </c>
      <c r="L27" s="149" t="s">
        <v>42</v>
      </c>
      <c r="M27" s="149">
        <v>4</v>
      </c>
      <c r="N27" s="150">
        <v>60.7</v>
      </c>
      <c r="O27" s="150">
        <v>39.5</v>
      </c>
      <c r="P27" s="149">
        <v>258</v>
      </c>
      <c r="Q27" s="149">
        <v>44</v>
      </c>
      <c r="R27" s="151">
        <v>149.9</v>
      </c>
      <c r="S27" s="144" t="s">
        <v>382</v>
      </c>
    </row>
    <row r="28" spans="1:19" s="113" customFormat="1">
      <c r="A28" s="142"/>
      <c r="B28" s="143"/>
      <c r="C28" s="143"/>
      <c r="D28" s="114"/>
      <c r="E28" s="164"/>
      <c r="F28" s="145"/>
      <c r="G28" s="146"/>
      <c r="H28" s="147"/>
      <c r="I28" s="147"/>
      <c r="J28" s="148"/>
      <c r="K28" s="149"/>
      <c r="L28" s="149"/>
      <c r="M28" s="149"/>
      <c r="N28" s="150"/>
      <c r="O28" s="150"/>
      <c r="P28" s="149"/>
      <c r="Q28" s="149"/>
      <c r="R28" s="151"/>
      <c r="S28" s="144"/>
    </row>
    <row r="29" spans="1:19" s="99" customFormat="1">
      <c r="A29" s="166"/>
      <c r="B29" s="305" t="s">
        <v>69</v>
      </c>
      <c r="C29" s="305" t="s">
        <v>268</v>
      </c>
      <c r="D29" s="305" t="s">
        <v>274</v>
      </c>
      <c r="E29" s="312" t="s">
        <v>41</v>
      </c>
      <c r="F29" s="307">
        <v>740</v>
      </c>
      <c r="G29" s="308">
        <v>0.5</v>
      </c>
      <c r="H29" s="258">
        <v>500</v>
      </c>
      <c r="I29" s="258">
        <v>27</v>
      </c>
      <c r="J29" s="309">
        <v>0.13600000000000001</v>
      </c>
      <c r="K29" s="262">
        <v>24</v>
      </c>
      <c r="L29" s="262">
        <v>6</v>
      </c>
      <c r="M29" s="262">
        <v>4</v>
      </c>
      <c r="N29" s="258">
        <v>40</v>
      </c>
      <c r="O29" s="265">
        <v>24</v>
      </c>
      <c r="P29" s="262">
        <v>92</v>
      </c>
      <c r="Q29" s="262">
        <v>30</v>
      </c>
      <c r="R29" s="310">
        <v>82.9</v>
      </c>
      <c r="S29" s="282" t="s">
        <v>382</v>
      </c>
    </row>
    <row r="30" spans="1:19" s="99" customFormat="1">
      <c r="A30" s="166"/>
      <c r="B30" s="305" t="s">
        <v>69</v>
      </c>
      <c r="C30" s="305" t="s">
        <v>269</v>
      </c>
      <c r="D30" s="306" t="s">
        <v>275</v>
      </c>
      <c r="E30" s="311" t="s">
        <v>147</v>
      </c>
      <c r="F30" s="307">
        <v>360</v>
      </c>
      <c r="G30" s="308">
        <v>0.4</v>
      </c>
      <c r="H30" s="258">
        <v>330</v>
      </c>
      <c r="I30" s="258">
        <v>15</v>
      </c>
      <c r="J30" s="309">
        <v>0.188</v>
      </c>
      <c r="K30" s="262">
        <v>14</v>
      </c>
      <c r="L30" s="262">
        <v>10</v>
      </c>
      <c r="M30" s="262">
        <v>4</v>
      </c>
      <c r="N30" s="258">
        <v>35</v>
      </c>
      <c r="O30" s="265">
        <v>28.5</v>
      </c>
      <c r="P30" s="262">
        <v>97</v>
      </c>
      <c r="Q30" s="262">
        <v>20</v>
      </c>
      <c r="R30" s="310">
        <v>79.900000000000006</v>
      </c>
      <c r="S30" s="282" t="s">
        <v>382</v>
      </c>
    </row>
    <row r="31" spans="1:19" s="99" customFormat="1">
      <c r="A31" s="166"/>
      <c r="B31" s="305" t="s">
        <v>69</v>
      </c>
      <c r="C31" s="305" t="s">
        <v>269</v>
      </c>
      <c r="D31" s="306" t="s">
        <v>276</v>
      </c>
      <c r="E31" s="312" t="s">
        <v>41</v>
      </c>
      <c r="F31" s="307">
        <v>630</v>
      </c>
      <c r="G31" s="308">
        <v>0.5</v>
      </c>
      <c r="H31" s="258">
        <v>495</v>
      </c>
      <c r="I31" s="258">
        <v>22</v>
      </c>
      <c r="J31" s="309">
        <v>6.5000000000000002E-2</v>
      </c>
      <c r="K31" s="262">
        <v>14</v>
      </c>
      <c r="L31" s="262">
        <v>10</v>
      </c>
      <c r="M31" s="262">
        <v>4</v>
      </c>
      <c r="N31" s="258">
        <v>35</v>
      </c>
      <c r="O31" s="265">
        <v>28.5</v>
      </c>
      <c r="P31" s="262">
        <v>97</v>
      </c>
      <c r="Q31" s="262">
        <v>25</v>
      </c>
      <c r="R31" s="310">
        <v>79.900000000000006</v>
      </c>
      <c r="S31" s="282" t="s">
        <v>382</v>
      </c>
    </row>
    <row r="32" spans="1:19" s="99" customFormat="1">
      <c r="A32" s="166"/>
      <c r="B32" s="305" t="s">
        <v>69</v>
      </c>
      <c r="C32" s="305" t="s">
        <v>269</v>
      </c>
      <c r="D32" s="306" t="s">
        <v>277</v>
      </c>
      <c r="E32" s="312" t="s">
        <v>41</v>
      </c>
      <c r="F32" s="307">
        <v>700</v>
      </c>
      <c r="G32" s="308">
        <v>0.5</v>
      </c>
      <c r="H32" s="258">
        <v>555</v>
      </c>
      <c r="I32" s="258">
        <v>25</v>
      </c>
      <c r="J32" s="309">
        <v>0.05</v>
      </c>
      <c r="K32" s="262">
        <v>14</v>
      </c>
      <c r="L32" s="262">
        <v>10</v>
      </c>
      <c r="M32" s="262">
        <v>4</v>
      </c>
      <c r="N32" s="258">
        <v>35</v>
      </c>
      <c r="O32" s="265">
        <v>28.5</v>
      </c>
      <c r="P32" s="262">
        <v>97</v>
      </c>
      <c r="Q32" s="262">
        <v>25</v>
      </c>
      <c r="R32" s="310">
        <v>79.900000000000006</v>
      </c>
      <c r="S32" s="282" t="s">
        <v>382</v>
      </c>
    </row>
    <row r="33" spans="1:19" s="113" customFormat="1">
      <c r="A33" s="142"/>
      <c r="B33" s="143"/>
      <c r="C33" s="143"/>
      <c r="D33" s="114"/>
      <c r="E33" s="164"/>
      <c r="F33" s="145"/>
      <c r="G33" s="146"/>
      <c r="H33" s="147"/>
      <c r="I33" s="147"/>
      <c r="J33" s="148"/>
      <c r="K33" s="149"/>
      <c r="L33" s="149"/>
      <c r="M33" s="149"/>
      <c r="N33" s="147"/>
      <c r="O33" s="150"/>
      <c r="P33" s="149"/>
      <c r="Q33" s="149"/>
      <c r="R33" s="151"/>
      <c r="S33" s="144"/>
    </row>
    <row r="34" spans="1:19" s="113" customFormat="1">
      <c r="A34" s="142">
        <v>9</v>
      </c>
      <c r="B34" s="143" t="s">
        <v>69</v>
      </c>
      <c r="C34" s="143" t="s">
        <v>269</v>
      </c>
      <c r="D34" s="114" t="s">
        <v>278</v>
      </c>
      <c r="E34" s="164" t="s">
        <v>71</v>
      </c>
      <c r="F34" s="145">
        <v>400</v>
      </c>
      <c r="G34" s="146">
        <v>0.3</v>
      </c>
      <c r="H34" s="147">
        <v>900</v>
      </c>
      <c r="I34" s="147">
        <v>30</v>
      </c>
      <c r="J34" s="148">
        <v>0.11600000000000001</v>
      </c>
      <c r="K34" s="149">
        <v>14</v>
      </c>
      <c r="L34" s="149">
        <v>15</v>
      </c>
      <c r="M34" s="149">
        <v>4</v>
      </c>
      <c r="N34" s="147">
        <v>35</v>
      </c>
      <c r="O34" s="150">
        <v>34.5</v>
      </c>
      <c r="P34" s="149">
        <v>183</v>
      </c>
      <c r="Q34" s="149">
        <v>30</v>
      </c>
      <c r="R34" s="151">
        <v>96.9</v>
      </c>
      <c r="S34" s="144" t="s">
        <v>382</v>
      </c>
    </row>
    <row r="35" spans="1:19" s="113" customFormat="1">
      <c r="A35" s="142">
        <v>10</v>
      </c>
      <c r="B35" s="143" t="s">
        <v>69</v>
      </c>
      <c r="C35" s="143" t="s">
        <v>269</v>
      </c>
      <c r="D35" s="114" t="s">
        <v>279</v>
      </c>
      <c r="E35" s="164" t="s">
        <v>71</v>
      </c>
      <c r="F35" s="145">
        <v>400</v>
      </c>
      <c r="G35" s="146">
        <v>1.2</v>
      </c>
      <c r="H35" s="147">
        <v>1140</v>
      </c>
      <c r="I35" s="147">
        <v>38</v>
      </c>
      <c r="J35" s="148">
        <v>8.2000000000000003E-2</v>
      </c>
      <c r="K35" s="149">
        <v>14</v>
      </c>
      <c r="L35" s="149">
        <v>20</v>
      </c>
      <c r="M35" s="149">
        <v>4</v>
      </c>
      <c r="N35" s="147">
        <v>35</v>
      </c>
      <c r="O35" s="150">
        <v>42</v>
      </c>
      <c r="P35" s="149">
        <v>194</v>
      </c>
      <c r="Q35" s="149">
        <v>40</v>
      </c>
      <c r="R35" s="151">
        <v>109.9</v>
      </c>
      <c r="S35" s="144" t="s">
        <v>382</v>
      </c>
    </row>
    <row r="36" spans="1:19" s="113" customFormat="1">
      <c r="A36" s="142"/>
      <c r="B36" s="143"/>
      <c r="C36" s="143"/>
      <c r="D36" s="114"/>
      <c r="E36" s="164"/>
      <c r="F36" s="145"/>
      <c r="G36" s="146"/>
      <c r="H36" s="147"/>
      <c r="I36" s="147"/>
      <c r="J36" s="148"/>
      <c r="K36" s="149"/>
      <c r="L36" s="149"/>
      <c r="M36" s="149"/>
      <c r="N36" s="147"/>
      <c r="O36" s="150"/>
      <c r="P36" s="149"/>
      <c r="Q36" s="149"/>
      <c r="R36" s="151"/>
      <c r="S36" s="144"/>
    </row>
    <row r="37" spans="1:19" s="113" customFormat="1">
      <c r="A37" s="142">
        <v>11</v>
      </c>
      <c r="B37" s="143" t="s">
        <v>69</v>
      </c>
      <c r="C37" s="143" t="s">
        <v>269</v>
      </c>
      <c r="D37" s="114" t="s">
        <v>280</v>
      </c>
      <c r="E37" s="164" t="s">
        <v>71</v>
      </c>
      <c r="F37" s="145">
        <v>370</v>
      </c>
      <c r="G37" s="146">
        <v>0.8</v>
      </c>
      <c r="H37" s="147">
        <v>450</v>
      </c>
      <c r="I37" s="147">
        <v>20</v>
      </c>
      <c r="J37" s="148">
        <v>9.8000000000000004E-2</v>
      </c>
      <c r="K37" s="149">
        <v>24</v>
      </c>
      <c r="L37" s="149">
        <v>10</v>
      </c>
      <c r="M37" s="149">
        <v>4</v>
      </c>
      <c r="N37" s="147">
        <v>40</v>
      </c>
      <c r="O37" s="150">
        <v>30.5</v>
      </c>
      <c r="P37" s="149">
        <v>112</v>
      </c>
      <c r="Q37" s="149">
        <v>20</v>
      </c>
      <c r="R37" s="151">
        <v>86.9</v>
      </c>
      <c r="S37" s="144" t="s">
        <v>382</v>
      </c>
    </row>
    <row r="38" spans="1:19" s="113" customFormat="1">
      <c r="A38" s="142">
        <v>12</v>
      </c>
      <c r="B38" s="143" t="s">
        <v>69</v>
      </c>
      <c r="C38" s="143" t="s">
        <v>269</v>
      </c>
      <c r="D38" s="114" t="s">
        <v>281</v>
      </c>
      <c r="E38" s="164" t="s">
        <v>71</v>
      </c>
      <c r="F38" s="145">
        <v>475</v>
      </c>
      <c r="G38" s="146">
        <v>0.8</v>
      </c>
      <c r="H38" s="147">
        <v>540</v>
      </c>
      <c r="I38" s="147">
        <v>30</v>
      </c>
      <c r="J38" s="148">
        <v>9.8000000000000004E-2</v>
      </c>
      <c r="K38" s="149">
        <v>24</v>
      </c>
      <c r="L38" s="149">
        <v>10</v>
      </c>
      <c r="M38" s="149">
        <v>4</v>
      </c>
      <c r="N38" s="147">
        <v>40</v>
      </c>
      <c r="O38" s="150">
        <v>30.5</v>
      </c>
      <c r="P38" s="149">
        <v>110</v>
      </c>
      <c r="Q38" s="149">
        <v>30</v>
      </c>
      <c r="R38" s="151">
        <v>86.9</v>
      </c>
      <c r="S38" s="144" t="s">
        <v>382</v>
      </c>
    </row>
    <row r="39" spans="1:19" s="113" customFormat="1">
      <c r="A39" s="142">
        <v>13</v>
      </c>
      <c r="B39" s="143" t="s">
        <v>69</v>
      </c>
      <c r="C39" s="143" t="s">
        <v>269</v>
      </c>
      <c r="D39" s="114" t="s">
        <v>282</v>
      </c>
      <c r="E39" s="164" t="s">
        <v>71</v>
      </c>
      <c r="F39" s="145">
        <v>580</v>
      </c>
      <c r="G39" s="146">
        <v>1.3</v>
      </c>
      <c r="H39" s="147">
        <v>575</v>
      </c>
      <c r="I39" s="147">
        <v>31</v>
      </c>
      <c r="J39" s="148">
        <v>4.2000000000000003E-2</v>
      </c>
      <c r="K39" s="149">
        <v>24</v>
      </c>
      <c r="L39" s="149">
        <v>10</v>
      </c>
      <c r="M39" s="149">
        <v>4</v>
      </c>
      <c r="N39" s="147">
        <v>40</v>
      </c>
      <c r="O39" s="150">
        <v>30.5</v>
      </c>
      <c r="P39" s="149">
        <v>112</v>
      </c>
      <c r="Q39" s="149">
        <v>40</v>
      </c>
      <c r="R39" s="151">
        <v>86.9</v>
      </c>
      <c r="S39" s="144" t="s">
        <v>382</v>
      </c>
    </row>
    <row r="40" spans="1:19" s="113" customFormat="1">
      <c r="A40" s="142"/>
      <c r="B40" s="143"/>
      <c r="C40" s="143"/>
      <c r="D40" s="114"/>
      <c r="E40" s="164"/>
      <c r="F40" s="145"/>
      <c r="G40" s="146"/>
      <c r="H40" s="147"/>
      <c r="I40" s="147"/>
      <c r="J40" s="148"/>
      <c r="K40" s="149"/>
      <c r="L40" s="149"/>
      <c r="M40" s="149"/>
      <c r="N40" s="147"/>
      <c r="O40" s="150"/>
      <c r="P40" s="149"/>
      <c r="Q40" s="149"/>
      <c r="R40" s="151"/>
      <c r="S40" s="144"/>
    </row>
    <row r="41" spans="1:19" s="113" customFormat="1">
      <c r="A41" s="142">
        <v>14</v>
      </c>
      <c r="B41" s="143" t="s">
        <v>69</v>
      </c>
      <c r="C41" s="143" t="s">
        <v>269</v>
      </c>
      <c r="D41" s="114" t="s">
        <v>283</v>
      </c>
      <c r="E41" s="164" t="s">
        <v>71</v>
      </c>
      <c r="F41" s="145">
        <v>340</v>
      </c>
      <c r="G41" s="146">
        <v>0.9</v>
      </c>
      <c r="H41" s="147">
        <v>660</v>
      </c>
      <c r="I41" s="147">
        <v>22</v>
      </c>
      <c r="J41" s="148">
        <v>0.13300000000000001</v>
      </c>
      <c r="K41" s="149">
        <v>24</v>
      </c>
      <c r="L41" s="149">
        <v>12</v>
      </c>
      <c r="M41" s="149">
        <v>4</v>
      </c>
      <c r="N41" s="147">
        <v>40</v>
      </c>
      <c r="O41" s="150">
        <v>32.5</v>
      </c>
      <c r="P41" s="149">
        <v>131</v>
      </c>
      <c r="Q41" s="149">
        <v>30</v>
      </c>
      <c r="R41" s="151">
        <v>92.9</v>
      </c>
      <c r="S41" s="144" t="s">
        <v>382</v>
      </c>
    </row>
    <row r="42" spans="1:19" s="113" customFormat="1">
      <c r="A42" s="142">
        <v>15</v>
      </c>
      <c r="B42" s="143" t="s">
        <v>69</v>
      </c>
      <c r="C42" s="143" t="s">
        <v>269</v>
      </c>
      <c r="D42" s="114" t="s">
        <v>284</v>
      </c>
      <c r="E42" s="164" t="s">
        <v>71</v>
      </c>
      <c r="F42" s="145">
        <v>400</v>
      </c>
      <c r="G42" s="146">
        <v>1</v>
      </c>
      <c r="H42" s="147">
        <v>750</v>
      </c>
      <c r="I42" s="147">
        <v>25</v>
      </c>
      <c r="J42" s="148">
        <v>7.4999999999999997E-2</v>
      </c>
      <c r="K42" s="149">
        <v>24</v>
      </c>
      <c r="L42" s="149">
        <v>12</v>
      </c>
      <c r="M42" s="149">
        <v>4</v>
      </c>
      <c r="N42" s="147">
        <v>40</v>
      </c>
      <c r="O42" s="150">
        <v>32.5</v>
      </c>
      <c r="P42" s="149">
        <v>128</v>
      </c>
      <c r="Q42" s="149">
        <v>30</v>
      </c>
      <c r="R42" s="151">
        <v>92.9</v>
      </c>
      <c r="S42" s="144" t="s">
        <v>382</v>
      </c>
    </row>
    <row r="43" spans="1:19" s="113" customFormat="1">
      <c r="A43" s="142">
        <v>16</v>
      </c>
      <c r="B43" s="143" t="s">
        <v>69</v>
      </c>
      <c r="C43" s="143" t="s">
        <v>269</v>
      </c>
      <c r="D43" s="114" t="s">
        <v>285</v>
      </c>
      <c r="E43" s="164" t="s">
        <v>71</v>
      </c>
      <c r="F43" s="145">
        <v>480</v>
      </c>
      <c r="G43" s="146">
        <v>1.3</v>
      </c>
      <c r="H43" s="147">
        <v>870</v>
      </c>
      <c r="I43" s="147">
        <v>29</v>
      </c>
      <c r="J43" s="148">
        <v>5.7000000000000002E-2</v>
      </c>
      <c r="K43" s="149">
        <v>24</v>
      </c>
      <c r="L43" s="149">
        <v>12</v>
      </c>
      <c r="M43" s="149">
        <v>4</v>
      </c>
      <c r="N43" s="147">
        <v>40</v>
      </c>
      <c r="O43" s="150">
        <v>32.5</v>
      </c>
      <c r="P43" s="149">
        <v>134</v>
      </c>
      <c r="Q43" s="149">
        <v>30</v>
      </c>
      <c r="R43" s="151">
        <v>92.9</v>
      </c>
      <c r="S43" s="144" t="s">
        <v>382</v>
      </c>
    </row>
    <row r="44" spans="1:19" s="113" customFormat="1">
      <c r="A44" s="142"/>
      <c r="B44" s="143"/>
      <c r="C44" s="143"/>
      <c r="D44" s="114"/>
      <c r="E44" s="164"/>
      <c r="F44" s="145"/>
      <c r="G44" s="146"/>
      <c r="H44" s="147"/>
      <c r="I44" s="147"/>
      <c r="J44" s="148"/>
      <c r="K44" s="149"/>
      <c r="L44" s="149"/>
      <c r="M44" s="149"/>
      <c r="N44" s="147"/>
      <c r="O44" s="150"/>
      <c r="P44" s="149"/>
      <c r="Q44" s="149"/>
      <c r="R44" s="151"/>
      <c r="S44" s="144"/>
    </row>
    <row r="45" spans="1:19" s="113" customFormat="1">
      <c r="A45" s="142">
        <v>17</v>
      </c>
      <c r="B45" s="143" t="s">
        <v>69</v>
      </c>
      <c r="C45" s="143" t="s">
        <v>269</v>
      </c>
      <c r="D45" s="114" t="s">
        <v>286</v>
      </c>
      <c r="E45" s="164" t="s">
        <v>71</v>
      </c>
      <c r="F45" s="145">
        <v>330</v>
      </c>
      <c r="G45" s="146">
        <v>1.1000000000000001</v>
      </c>
      <c r="H45" s="147">
        <v>750</v>
      </c>
      <c r="I45" s="147">
        <v>25</v>
      </c>
      <c r="J45" s="148">
        <v>8.5000000000000006E-2</v>
      </c>
      <c r="K45" s="149">
        <v>24</v>
      </c>
      <c r="L45" s="149">
        <v>14</v>
      </c>
      <c r="M45" s="149">
        <v>4</v>
      </c>
      <c r="N45" s="147">
        <v>40</v>
      </c>
      <c r="O45" s="150">
        <v>34.5</v>
      </c>
      <c r="P45" s="149">
        <v>149</v>
      </c>
      <c r="Q45" s="149">
        <v>25</v>
      </c>
      <c r="R45" s="151">
        <v>96.9</v>
      </c>
      <c r="S45" s="144" t="s">
        <v>382</v>
      </c>
    </row>
    <row r="46" spans="1:19" s="113" customFormat="1">
      <c r="A46" s="142">
        <v>18</v>
      </c>
      <c r="B46" s="143" t="s">
        <v>69</v>
      </c>
      <c r="C46" s="143" t="s">
        <v>269</v>
      </c>
      <c r="D46" s="114" t="s">
        <v>287</v>
      </c>
      <c r="E46" s="164" t="s">
        <v>71</v>
      </c>
      <c r="F46" s="145">
        <v>400</v>
      </c>
      <c r="G46" s="146">
        <v>1.3</v>
      </c>
      <c r="H46" s="147">
        <v>900</v>
      </c>
      <c r="I46" s="147">
        <v>30</v>
      </c>
      <c r="J46" s="148">
        <v>6.7000000000000004E-2</v>
      </c>
      <c r="K46" s="149">
        <v>24</v>
      </c>
      <c r="L46" s="149">
        <v>14</v>
      </c>
      <c r="M46" s="149">
        <v>4</v>
      </c>
      <c r="N46" s="147">
        <v>40</v>
      </c>
      <c r="O46" s="150">
        <v>34.5</v>
      </c>
      <c r="P46" s="149">
        <v>150</v>
      </c>
      <c r="Q46" s="149">
        <v>30</v>
      </c>
      <c r="R46" s="151">
        <v>96.9</v>
      </c>
      <c r="S46" s="144" t="s">
        <v>382</v>
      </c>
    </row>
    <row r="47" spans="1:19" s="113" customFormat="1">
      <c r="A47" s="142"/>
      <c r="B47" s="143"/>
      <c r="C47" s="143"/>
      <c r="D47" s="114"/>
      <c r="E47" s="164"/>
      <c r="F47" s="145"/>
      <c r="G47" s="146"/>
      <c r="H47" s="147"/>
      <c r="I47" s="147"/>
      <c r="J47" s="148"/>
      <c r="K47" s="149"/>
      <c r="L47" s="149"/>
      <c r="M47" s="149"/>
      <c r="N47" s="147"/>
      <c r="O47" s="150"/>
      <c r="P47" s="149"/>
      <c r="Q47" s="149"/>
      <c r="R47" s="151"/>
      <c r="S47" s="144"/>
    </row>
    <row r="48" spans="1:19" s="113" customFormat="1">
      <c r="A48" s="142">
        <v>19</v>
      </c>
      <c r="B48" s="143" t="s">
        <v>69</v>
      </c>
      <c r="C48" s="143" t="s">
        <v>269</v>
      </c>
      <c r="D48" s="114" t="s">
        <v>288</v>
      </c>
      <c r="E48" s="164" t="s">
        <v>71</v>
      </c>
      <c r="F48" s="145">
        <v>400</v>
      </c>
      <c r="G48" s="146">
        <v>1.1200000000000001</v>
      </c>
      <c r="H48" s="147">
        <v>1050</v>
      </c>
      <c r="I48" s="147">
        <v>47</v>
      </c>
      <c r="J48" s="148">
        <v>0.03</v>
      </c>
      <c r="K48" s="149">
        <v>14</v>
      </c>
      <c r="L48" s="149">
        <v>20</v>
      </c>
      <c r="M48" s="149">
        <v>4</v>
      </c>
      <c r="N48" s="147">
        <v>41</v>
      </c>
      <c r="O48" s="150">
        <v>42</v>
      </c>
      <c r="P48" s="149">
        <v>253</v>
      </c>
      <c r="Q48" s="149">
        <v>50</v>
      </c>
      <c r="R48" s="151">
        <v>119.9</v>
      </c>
      <c r="S48" s="144" t="s">
        <v>382</v>
      </c>
    </row>
    <row r="49" spans="1:20" s="113" customFormat="1">
      <c r="A49" s="142">
        <v>20</v>
      </c>
      <c r="B49" s="143" t="s">
        <v>69</v>
      </c>
      <c r="C49" s="143" t="s">
        <v>269</v>
      </c>
      <c r="D49" s="114" t="s">
        <v>289</v>
      </c>
      <c r="E49" s="164" t="s">
        <v>71</v>
      </c>
      <c r="F49" s="145">
        <v>465</v>
      </c>
      <c r="G49" s="146">
        <v>1.4</v>
      </c>
      <c r="H49" s="147">
        <v>1200</v>
      </c>
      <c r="I49" s="147">
        <v>50</v>
      </c>
      <c r="J49" s="148">
        <v>2.4E-2</v>
      </c>
      <c r="K49" s="149">
        <v>14</v>
      </c>
      <c r="L49" s="149">
        <v>20</v>
      </c>
      <c r="M49" s="149">
        <v>4</v>
      </c>
      <c r="N49" s="147">
        <v>41</v>
      </c>
      <c r="O49" s="150">
        <v>42</v>
      </c>
      <c r="P49" s="149">
        <v>253</v>
      </c>
      <c r="Q49" s="149">
        <v>50</v>
      </c>
      <c r="R49" s="151">
        <v>119.9</v>
      </c>
      <c r="S49" s="144" t="s">
        <v>382</v>
      </c>
    </row>
    <row r="50" spans="1:20" s="47" customFormat="1">
      <c r="A50" s="43"/>
      <c r="B50" s="43"/>
      <c r="C50" s="43"/>
      <c r="D50" s="44"/>
      <c r="E50" s="44" t="s">
        <v>376</v>
      </c>
      <c r="F50" s="152">
        <f t="shared" ref="F50:P50" si="0">MIN(F48:F49,F45:F46,F41:F43,F37:F39,F34:F35,F25:F27,F11:F13,F8:F9)</f>
        <v>330</v>
      </c>
      <c r="G50" s="153">
        <f t="shared" si="0"/>
        <v>0.3</v>
      </c>
      <c r="H50" s="152">
        <f t="shared" si="0"/>
        <v>450</v>
      </c>
      <c r="I50" s="152">
        <f t="shared" si="0"/>
        <v>20</v>
      </c>
      <c r="J50" s="325">
        <f t="shared" si="0"/>
        <v>2.1000000000000001E-2</v>
      </c>
      <c r="K50" s="152">
        <f t="shared" si="0"/>
        <v>14</v>
      </c>
      <c r="L50" s="152">
        <f t="shared" si="0"/>
        <v>10</v>
      </c>
      <c r="M50" s="152">
        <f t="shared" si="0"/>
        <v>3.98</v>
      </c>
      <c r="N50" s="152">
        <f t="shared" si="0"/>
        <v>35</v>
      </c>
      <c r="O50" s="152">
        <f t="shared" si="0"/>
        <v>30.5</v>
      </c>
      <c r="P50" s="152">
        <f t="shared" si="0"/>
        <v>110</v>
      </c>
      <c r="Q50" s="152">
        <f>MIN(Q48:Q49,Q45:Q46,Q41:Q43,Q37:Q39,Q34:Q35,Q25:Q27,Q11:Q13,Q8:Q9)</f>
        <v>20</v>
      </c>
      <c r="R50" s="154">
        <f>MIN(R48:R49,R45:R46,R41:R43,R37:R39,R34:R35,R25:R27,R11:R13,R8:R9)</f>
        <v>86.9</v>
      </c>
      <c r="S50" s="141">
        <f ca="1">NOW()</f>
        <v>41738.554235995369</v>
      </c>
    </row>
    <row r="51" spans="1:20" s="47" customFormat="1">
      <c r="B51" s="58"/>
      <c r="C51" s="58"/>
      <c r="D51" s="88"/>
      <c r="E51" s="88" t="s">
        <v>377</v>
      </c>
      <c r="F51" s="155">
        <f t="shared" ref="F51:P51" si="1">MAX(F48:F49,F45:F46,F41:F43,F37:F39,F34:F35,F25:F27,F11:F13,F8:F9)</f>
        <v>630</v>
      </c>
      <c r="G51" s="156">
        <f t="shared" si="1"/>
        <v>1.54</v>
      </c>
      <c r="H51" s="155">
        <f t="shared" si="1"/>
        <v>1850</v>
      </c>
      <c r="I51" s="155">
        <f t="shared" si="1"/>
        <v>95</v>
      </c>
      <c r="J51" s="326">
        <f t="shared" si="1"/>
        <v>0.152</v>
      </c>
      <c r="K51" s="155">
        <f t="shared" si="1"/>
        <v>24</v>
      </c>
      <c r="L51" s="155">
        <f t="shared" si="1"/>
        <v>78.400000000000006</v>
      </c>
      <c r="M51" s="155">
        <f t="shared" si="1"/>
        <v>5.98</v>
      </c>
      <c r="N51" s="155">
        <f t="shared" si="1"/>
        <v>60.7</v>
      </c>
      <c r="O51" s="155">
        <f t="shared" si="1"/>
        <v>46.15</v>
      </c>
      <c r="P51" s="155">
        <f t="shared" si="1"/>
        <v>288</v>
      </c>
      <c r="Q51" s="155">
        <f>MAX(Q48:Q49,Q45:Q46,Q41:Q43,Q37:Q39,Q34:Q35,Q25:Q27,Q11:Q13,Q8:Q9)</f>
        <v>100</v>
      </c>
      <c r="R51" s="157">
        <f>MAX(R48:R49,R45:R46,R41:R43,R37:R39,R34:R35,R25:R27,R11:R13,R8:R9)</f>
        <v>149.9</v>
      </c>
      <c r="S51"/>
      <c r="T51" s="62"/>
    </row>
    <row r="52" spans="1:20">
      <c r="D52" s="88"/>
      <c r="E52" s="88" t="s">
        <v>378</v>
      </c>
      <c r="F52" s="158">
        <f t="shared" ref="F52:P52" si="2">AVERAGE(F48:F49,F45:F46,F41:F43,F37:F39,F34:F35,F25:F27,F11:F13,F8:F9)</f>
        <v>432</v>
      </c>
      <c r="G52" s="159">
        <f t="shared" si="2"/>
        <v>0.97499999999999998</v>
      </c>
      <c r="H52" s="158">
        <f t="shared" si="2"/>
        <v>960.75</v>
      </c>
      <c r="I52" s="158">
        <f t="shared" si="2"/>
        <v>39.450000000000003</v>
      </c>
      <c r="J52" s="327">
        <f t="shared" si="2"/>
        <v>7.195E-2</v>
      </c>
      <c r="K52" s="158">
        <f t="shared" si="2"/>
        <v>18</v>
      </c>
      <c r="L52" s="158">
        <f t="shared" si="2"/>
        <v>28.335294117647063</v>
      </c>
      <c r="M52" s="158">
        <f t="shared" si="2"/>
        <v>4.2950000000000008</v>
      </c>
      <c r="N52" s="158">
        <f t="shared" si="2"/>
        <v>41.795000000000002</v>
      </c>
      <c r="O52" s="158">
        <f t="shared" si="2"/>
        <v>37.139499999999991</v>
      </c>
      <c r="P52" s="158">
        <f t="shared" si="2"/>
        <v>189.4</v>
      </c>
      <c r="Q52" s="158">
        <f>AVERAGE(Q48:Q49,Q45:Q46,Q41:Q43,Q37:Q39,Q34:Q35,Q25:Q27,Q11:Q13,Q8:Q9)</f>
        <v>42.45</v>
      </c>
      <c r="R52" s="160">
        <f>AVERAGE(R48:R49,R45:R46,R41:R43,R37:R39,R34:R35,R25:R27,R11:R13,R8:R9)</f>
        <v>111.77249999999999</v>
      </c>
    </row>
    <row r="53" spans="1:20">
      <c r="C53" t="s">
        <v>548</v>
      </c>
    </row>
    <row r="54" spans="1:20">
      <c r="C54" s="250" t="s">
        <v>555</v>
      </c>
    </row>
    <row r="55" spans="1:20">
      <c r="C55" s="252" t="s">
        <v>556</v>
      </c>
    </row>
    <row r="56" spans="1:20">
      <c r="C56" s="315" t="s">
        <v>550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4" r:id="rId22"/>
    <hyperlink ref="S2" r:id="rId23"/>
    <hyperlink ref="S3" r:id="rId24"/>
    <hyperlink ref="S4" r:id="rId25"/>
    <hyperlink ref="S5" r:id="rId26"/>
    <hyperlink ref="S6" r:id="rId27"/>
    <hyperlink ref="S9" r:id="rId28"/>
    <hyperlink ref="S11" r:id="rId29"/>
    <hyperlink ref="S12" r:id="rId30"/>
    <hyperlink ref="S13" r:id="rId31"/>
    <hyperlink ref="S15" r:id="rId32"/>
    <hyperlink ref="S16" r:id="rId33"/>
    <hyperlink ref="S17" r:id="rId34"/>
    <hyperlink ref="S19" r:id="rId35"/>
    <hyperlink ref="S20" r:id="rId36"/>
    <hyperlink ref="S21" r:id="rId37"/>
  </hyperlinks>
  <pageMargins left="0.7" right="0.7" top="0.75" bottom="0.75" header="0.3" footer="0.3"/>
  <pageSetup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30"/>
  <sheetViews>
    <sheetView view="pageLayout" topLeftCell="A4" workbookViewId="0">
      <selection activeCell="J4" sqref="J4"/>
    </sheetView>
  </sheetViews>
  <sheetFormatPr baseColWidth="10" defaultColWidth="8.83203125" defaultRowHeight="15" x14ac:dyDescent="0"/>
  <cols>
    <col min="1" max="1" width="4.1640625" customWidth="1"/>
    <col min="2" max="2" width="9.83203125" bestFit="1" customWidth="1"/>
    <col min="3" max="3" width="12.6640625" bestFit="1" customWidth="1"/>
    <col min="4" max="4" width="12.33203125" bestFit="1" customWidth="1"/>
    <col min="5" max="7" width="4.6640625" bestFit="1" customWidth="1"/>
    <col min="8" max="8" width="4.83203125" bestFit="1" customWidth="1"/>
    <col min="9" max="9" width="6.83203125" bestFit="1" customWidth="1"/>
    <col min="10" max="10" width="27.83203125" customWidth="1"/>
  </cols>
  <sheetData>
    <row r="1" spans="1:10">
      <c r="A1" t="s">
        <v>374</v>
      </c>
    </row>
    <row r="2" spans="1:10" s="70" customFormat="1" ht="92.25">
      <c r="A2" s="71" t="s">
        <v>27</v>
      </c>
      <c r="B2" s="71" t="s">
        <v>28</v>
      </c>
      <c r="C2" s="71" t="s">
        <v>220</v>
      </c>
      <c r="D2" s="71" t="s">
        <v>391</v>
      </c>
      <c r="E2" s="72" t="s">
        <v>221</v>
      </c>
      <c r="F2" s="72" t="s">
        <v>222</v>
      </c>
      <c r="G2" s="73" t="s">
        <v>31</v>
      </c>
      <c r="H2" s="72" t="s">
        <v>223</v>
      </c>
      <c r="I2" s="74" t="s">
        <v>224</v>
      </c>
      <c r="J2" s="74" t="s">
        <v>14</v>
      </c>
    </row>
    <row r="3" spans="1:10">
      <c r="A3" s="129">
        <v>1</v>
      </c>
      <c r="B3" s="167" t="s">
        <v>390</v>
      </c>
      <c r="C3" s="167" t="s">
        <v>395</v>
      </c>
      <c r="D3" s="167" t="s">
        <v>397</v>
      </c>
      <c r="E3" s="138">
        <v>30</v>
      </c>
      <c r="F3" s="138">
        <v>40</v>
      </c>
      <c r="G3" s="173" t="s">
        <v>142</v>
      </c>
      <c r="H3" s="134">
        <v>25</v>
      </c>
      <c r="I3" s="174">
        <v>19.989999999999998</v>
      </c>
      <c r="J3" s="175" t="s">
        <v>434</v>
      </c>
    </row>
    <row r="4" spans="1:10">
      <c r="A4" s="129">
        <v>2</v>
      </c>
      <c r="B4" s="167" t="s">
        <v>390</v>
      </c>
      <c r="C4" s="167" t="s">
        <v>396</v>
      </c>
      <c r="D4" s="167" t="s">
        <v>397</v>
      </c>
      <c r="E4" s="138">
        <v>40</v>
      </c>
      <c r="F4" s="138">
        <v>60</v>
      </c>
      <c r="G4" s="173" t="s">
        <v>351</v>
      </c>
      <c r="H4" s="134">
        <v>35</v>
      </c>
      <c r="I4" s="174">
        <v>28.5</v>
      </c>
      <c r="J4" s="175" t="s">
        <v>434</v>
      </c>
    </row>
    <row r="5" spans="1:10">
      <c r="A5" s="129">
        <v>3</v>
      </c>
      <c r="B5" s="167" t="s">
        <v>390</v>
      </c>
      <c r="C5" s="167" t="s">
        <v>393</v>
      </c>
      <c r="D5" s="167" t="s">
        <v>392</v>
      </c>
      <c r="E5" s="138">
        <v>30</v>
      </c>
      <c r="F5" s="138">
        <v>45</v>
      </c>
      <c r="G5" s="173" t="s">
        <v>351</v>
      </c>
      <c r="H5" s="134">
        <v>31.6</v>
      </c>
      <c r="I5" s="174">
        <v>26</v>
      </c>
      <c r="J5" s="176" t="s">
        <v>394</v>
      </c>
    </row>
    <row r="6" spans="1:10">
      <c r="A6" s="129"/>
      <c r="B6" s="167"/>
      <c r="C6" s="167"/>
      <c r="D6" s="167"/>
      <c r="E6" s="138"/>
      <c r="F6" s="138"/>
      <c r="G6" s="173"/>
      <c r="H6" s="134"/>
      <c r="I6" s="174"/>
      <c r="J6" s="176"/>
    </row>
    <row r="7" spans="1:10">
      <c r="A7" s="129">
        <v>4</v>
      </c>
      <c r="B7" s="167" t="s">
        <v>398</v>
      </c>
      <c r="C7" s="167" t="s">
        <v>399</v>
      </c>
      <c r="D7" s="167" t="s">
        <v>392</v>
      </c>
      <c r="E7" s="138">
        <v>30</v>
      </c>
      <c r="F7" s="138">
        <v>40</v>
      </c>
      <c r="G7" s="173" t="s">
        <v>142</v>
      </c>
      <c r="H7" s="134">
        <v>27</v>
      </c>
      <c r="I7" s="174">
        <v>30</v>
      </c>
      <c r="J7" s="176" t="s">
        <v>403</v>
      </c>
    </row>
    <row r="8" spans="1:10">
      <c r="A8" s="129">
        <v>5</v>
      </c>
      <c r="B8" s="167" t="s">
        <v>398</v>
      </c>
      <c r="C8" s="167" t="s">
        <v>400</v>
      </c>
      <c r="D8" s="167" t="s">
        <v>392</v>
      </c>
      <c r="E8" s="138">
        <v>35</v>
      </c>
      <c r="F8" s="138">
        <v>50</v>
      </c>
      <c r="G8" s="173" t="s">
        <v>142</v>
      </c>
      <c r="H8" s="134">
        <v>27</v>
      </c>
      <c r="I8" s="174">
        <v>30</v>
      </c>
      <c r="J8" s="176" t="s">
        <v>404</v>
      </c>
    </row>
    <row r="9" spans="1:10">
      <c r="A9" s="129">
        <v>6</v>
      </c>
      <c r="B9" s="167" t="s">
        <v>398</v>
      </c>
      <c r="C9" s="167" t="s">
        <v>401</v>
      </c>
      <c r="D9" s="167" t="s">
        <v>392</v>
      </c>
      <c r="E9" s="138">
        <v>40</v>
      </c>
      <c r="F9" s="138">
        <v>60</v>
      </c>
      <c r="G9" s="173" t="s">
        <v>351</v>
      </c>
      <c r="H9" s="134">
        <v>35</v>
      </c>
      <c r="I9" s="174">
        <v>37</v>
      </c>
      <c r="J9" s="176" t="s">
        <v>405</v>
      </c>
    </row>
    <row r="10" spans="1:10">
      <c r="A10" s="129">
        <v>7</v>
      </c>
      <c r="B10" s="167" t="s">
        <v>398</v>
      </c>
      <c r="C10" s="167" t="s">
        <v>402</v>
      </c>
      <c r="D10" s="167" t="s">
        <v>392</v>
      </c>
      <c r="E10" s="138">
        <v>60</v>
      </c>
      <c r="F10" s="138">
        <v>80</v>
      </c>
      <c r="G10" s="173" t="s">
        <v>351</v>
      </c>
      <c r="H10" s="134">
        <v>51</v>
      </c>
      <c r="I10" s="174">
        <v>60</v>
      </c>
      <c r="J10" s="176" t="s">
        <v>406</v>
      </c>
    </row>
    <row r="11" spans="1:10">
      <c r="A11" s="129"/>
      <c r="B11" s="167"/>
      <c r="C11" s="167"/>
      <c r="D11" s="167"/>
      <c r="E11" s="138"/>
      <c r="F11" s="138"/>
      <c r="G11" s="173"/>
      <c r="H11" s="134"/>
      <c r="I11" s="174"/>
      <c r="J11" s="176"/>
    </row>
    <row r="12" spans="1:10">
      <c r="A12" s="129">
        <v>8</v>
      </c>
      <c r="B12" s="167" t="s">
        <v>269</v>
      </c>
      <c r="C12" s="167" t="s">
        <v>407</v>
      </c>
      <c r="D12" s="167" t="s">
        <v>397</v>
      </c>
      <c r="E12" s="138">
        <v>30</v>
      </c>
      <c r="F12" s="138">
        <v>40</v>
      </c>
      <c r="G12" s="173" t="s">
        <v>142</v>
      </c>
      <c r="H12" s="134">
        <v>25</v>
      </c>
      <c r="I12" s="174">
        <v>28.99</v>
      </c>
      <c r="J12" s="176" t="s">
        <v>412</v>
      </c>
    </row>
    <row r="13" spans="1:10">
      <c r="A13" s="129">
        <v>9</v>
      </c>
      <c r="B13" s="167" t="s">
        <v>269</v>
      </c>
      <c r="C13" s="167" t="s">
        <v>408</v>
      </c>
      <c r="D13" s="167" t="s">
        <v>417</v>
      </c>
      <c r="E13" s="138">
        <v>30</v>
      </c>
      <c r="F13" s="138">
        <v>40</v>
      </c>
      <c r="G13" s="173" t="s">
        <v>351</v>
      </c>
      <c r="H13" s="134">
        <v>31</v>
      </c>
      <c r="I13" s="174">
        <v>49.99</v>
      </c>
      <c r="J13" s="176" t="s">
        <v>413</v>
      </c>
    </row>
    <row r="14" spans="1:10">
      <c r="A14" s="129">
        <v>10</v>
      </c>
      <c r="B14" s="167" t="s">
        <v>269</v>
      </c>
      <c r="C14" s="167" t="s">
        <v>409</v>
      </c>
      <c r="D14" s="167" t="s">
        <v>397</v>
      </c>
      <c r="E14" s="138">
        <v>40</v>
      </c>
      <c r="F14" s="138">
        <v>60</v>
      </c>
      <c r="G14" s="173" t="s">
        <v>351</v>
      </c>
      <c r="H14" s="134">
        <v>35</v>
      </c>
      <c r="I14" s="174">
        <v>45.99</v>
      </c>
      <c r="J14" s="176" t="s">
        <v>414</v>
      </c>
    </row>
    <row r="15" spans="1:10">
      <c r="A15" s="129">
        <v>11</v>
      </c>
      <c r="B15" s="167" t="s">
        <v>269</v>
      </c>
      <c r="C15" s="167" t="s">
        <v>410</v>
      </c>
      <c r="D15" s="167" t="s">
        <v>42</v>
      </c>
      <c r="E15" s="138">
        <v>40</v>
      </c>
      <c r="F15" s="138">
        <v>60</v>
      </c>
      <c r="G15" s="173" t="s">
        <v>351</v>
      </c>
      <c r="H15" s="134">
        <v>29</v>
      </c>
      <c r="I15" s="174">
        <v>55.99</v>
      </c>
      <c r="J15" s="176" t="s">
        <v>415</v>
      </c>
    </row>
    <row r="16" spans="1:10">
      <c r="A16" s="129">
        <v>12</v>
      </c>
      <c r="B16" s="167" t="s">
        <v>269</v>
      </c>
      <c r="C16" s="167" t="s">
        <v>411</v>
      </c>
      <c r="D16" s="167" t="s">
        <v>397</v>
      </c>
      <c r="E16" s="138">
        <v>60</v>
      </c>
      <c r="F16" s="138">
        <v>80</v>
      </c>
      <c r="G16" s="173" t="s">
        <v>351</v>
      </c>
      <c r="H16" s="134">
        <v>60</v>
      </c>
      <c r="I16" s="174">
        <v>59.99</v>
      </c>
      <c r="J16" s="176" t="s">
        <v>416</v>
      </c>
    </row>
    <row r="17" spans="1:10">
      <c r="A17" s="129"/>
      <c r="B17" s="167"/>
      <c r="C17" s="167"/>
      <c r="D17" s="167"/>
      <c r="E17" s="138"/>
      <c r="F17" s="138"/>
      <c r="G17" s="173"/>
      <c r="H17" s="134"/>
      <c r="I17" s="174"/>
      <c r="J17" s="176"/>
    </row>
    <row r="18" spans="1:10">
      <c r="A18" s="129">
        <v>13</v>
      </c>
      <c r="B18" s="167" t="s">
        <v>40</v>
      </c>
      <c r="C18" s="167" t="s">
        <v>426</v>
      </c>
      <c r="D18" s="167" t="s">
        <v>419</v>
      </c>
      <c r="E18" s="138">
        <v>20</v>
      </c>
      <c r="F18" s="138" t="s">
        <v>42</v>
      </c>
      <c r="G18" s="173" t="s">
        <v>142</v>
      </c>
      <c r="H18" s="134">
        <v>25</v>
      </c>
      <c r="I18" s="174">
        <v>10.55</v>
      </c>
      <c r="J18" s="175" t="s">
        <v>430</v>
      </c>
    </row>
    <row r="19" spans="1:10">
      <c r="A19" s="129">
        <v>14</v>
      </c>
      <c r="B19" s="167" t="s">
        <v>40</v>
      </c>
      <c r="C19" s="167" t="s">
        <v>427</v>
      </c>
      <c r="D19" s="167" t="s">
        <v>392</v>
      </c>
      <c r="E19" s="138">
        <v>30</v>
      </c>
      <c r="F19" s="138" t="s">
        <v>42</v>
      </c>
      <c r="G19" s="173" t="s">
        <v>142</v>
      </c>
      <c r="H19" s="134">
        <v>32</v>
      </c>
      <c r="I19" s="174">
        <v>11.29</v>
      </c>
      <c r="J19" s="175" t="s">
        <v>431</v>
      </c>
    </row>
    <row r="20" spans="1:10">
      <c r="A20" s="129">
        <v>15</v>
      </c>
      <c r="B20" s="167" t="s">
        <v>40</v>
      </c>
      <c r="C20" s="167" t="s">
        <v>428</v>
      </c>
      <c r="D20" s="167" t="s">
        <v>392</v>
      </c>
      <c r="E20" s="138">
        <v>45</v>
      </c>
      <c r="F20" s="138" t="s">
        <v>42</v>
      </c>
      <c r="G20" s="173" t="s">
        <v>351</v>
      </c>
      <c r="H20" s="134">
        <v>63</v>
      </c>
      <c r="I20" s="174">
        <v>19.46</v>
      </c>
      <c r="J20" s="175" t="s">
        <v>432</v>
      </c>
    </row>
    <row r="21" spans="1:10">
      <c r="A21" s="129">
        <v>16</v>
      </c>
      <c r="B21" s="167" t="s">
        <v>40</v>
      </c>
      <c r="C21" s="167" t="s">
        <v>429</v>
      </c>
      <c r="D21" s="167" t="s">
        <v>392</v>
      </c>
      <c r="E21" s="138">
        <v>60</v>
      </c>
      <c r="F21" s="138" t="s">
        <v>42</v>
      </c>
      <c r="G21" s="173" t="s">
        <v>351</v>
      </c>
      <c r="H21" s="134">
        <v>62</v>
      </c>
      <c r="I21" s="174">
        <v>22.12</v>
      </c>
      <c r="J21" s="175" t="s">
        <v>433</v>
      </c>
    </row>
    <row r="22" spans="1:10">
      <c r="A22" s="129"/>
      <c r="B22" s="167"/>
      <c r="C22" s="167"/>
      <c r="D22" s="167"/>
      <c r="E22" s="138"/>
      <c r="F22" s="138"/>
      <c r="G22" s="173"/>
      <c r="H22" s="134"/>
      <c r="I22" s="174"/>
      <c r="J22" s="175"/>
    </row>
    <row r="23" spans="1:10">
      <c r="A23" s="129">
        <v>17</v>
      </c>
      <c r="B23" s="167" t="s">
        <v>40</v>
      </c>
      <c r="C23" s="167" t="s">
        <v>346</v>
      </c>
      <c r="D23" s="167" t="s">
        <v>418</v>
      </c>
      <c r="E23" s="138">
        <v>25</v>
      </c>
      <c r="F23" s="168" t="s">
        <v>348</v>
      </c>
      <c r="G23" s="169" t="s">
        <v>142</v>
      </c>
      <c r="H23" s="170">
        <v>22</v>
      </c>
      <c r="I23" s="171">
        <v>13.44</v>
      </c>
      <c r="J23" s="172" t="s">
        <v>349</v>
      </c>
    </row>
    <row r="24" spans="1:10">
      <c r="A24" s="129">
        <v>18</v>
      </c>
      <c r="B24" s="167" t="s">
        <v>40</v>
      </c>
      <c r="C24" s="167" t="s">
        <v>244</v>
      </c>
      <c r="D24" s="167" t="s">
        <v>418</v>
      </c>
      <c r="E24" s="138">
        <v>30</v>
      </c>
      <c r="F24" s="138">
        <v>40</v>
      </c>
      <c r="G24" s="173" t="s">
        <v>142</v>
      </c>
      <c r="H24" s="134">
        <v>25</v>
      </c>
      <c r="I24" s="174">
        <v>13.13</v>
      </c>
      <c r="J24" s="175" t="s">
        <v>350</v>
      </c>
    </row>
    <row r="25" spans="1:10">
      <c r="A25" s="129">
        <v>19</v>
      </c>
      <c r="B25" s="167" t="s">
        <v>40</v>
      </c>
      <c r="C25" s="167" t="s">
        <v>243</v>
      </c>
      <c r="D25" s="167" t="s">
        <v>418</v>
      </c>
      <c r="E25" s="138">
        <v>40</v>
      </c>
      <c r="F25" s="138">
        <v>55</v>
      </c>
      <c r="G25" s="173" t="s">
        <v>351</v>
      </c>
      <c r="H25" s="134">
        <v>33</v>
      </c>
      <c r="I25" s="174">
        <v>21.99</v>
      </c>
      <c r="J25" s="175" t="s">
        <v>352</v>
      </c>
    </row>
    <row r="26" spans="1:10" s="47" customFormat="1">
      <c r="A26" s="129">
        <v>20</v>
      </c>
      <c r="B26" s="167" t="s">
        <v>40</v>
      </c>
      <c r="C26" s="167" t="s">
        <v>347</v>
      </c>
      <c r="D26" s="167" t="s">
        <v>419</v>
      </c>
      <c r="E26" s="138">
        <v>60</v>
      </c>
      <c r="F26" s="138">
        <v>80</v>
      </c>
      <c r="G26" s="173" t="s">
        <v>351</v>
      </c>
      <c r="H26" s="134">
        <v>60</v>
      </c>
      <c r="I26" s="174">
        <v>34.880000000000003</v>
      </c>
      <c r="J26" s="175" t="s">
        <v>353</v>
      </c>
    </row>
    <row r="27" spans="1:10" s="47" customFormat="1">
      <c r="A27" s="129"/>
      <c r="B27" s="167"/>
      <c r="C27" s="167"/>
      <c r="D27" s="167"/>
      <c r="E27" s="138"/>
      <c r="F27" s="138"/>
      <c r="G27" s="173"/>
      <c r="H27" s="134"/>
      <c r="I27" s="174"/>
      <c r="J27" s="175"/>
    </row>
    <row r="28" spans="1:10">
      <c r="A28" s="129">
        <v>21</v>
      </c>
      <c r="B28" s="167" t="s">
        <v>40</v>
      </c>
      <c r="C28" s="167" t="s">
        <v>422</v>
      </c>
      <c r="D28" s="167" t="s">
        <v>418</v>
      </c>
      <c r="E28" s="138">
        <v>45</v>
      </c>
      <c r="F28" s="138">
        <v>65</v>
      </c>
      <c r="G28" s="173" t="s">
        <v>351</v>
      </c>
      <c r="H28" s="134">
        <v>40</v>
      </c>
      <c r="I28" s="174">
        <v>39.19</v>
      </c>
      <c r="J28" s="175" t="s">
        <v>423</v>
      </c>
    </row>
    <row r="29" spans="1:10">
      <c r="A29" s="129">
        <v>22</v>
      </c>
      <c r="B29" s="167" t="s">
        <v>40</v>
      </c>
      <c r="C29" s="167" t="s">
        <v>421</v>
      </c>
      <c r="D29" s="167" t="s">
        <v>419</v>
      </c>
      <c r="E29" s="138">
        <v>60</v>
      </c>
      <c r="F29" s="138">
        <v>70</v>
      </c>
      <c r="G29" s="173" t="s">
        <v>351</v>
      </c>
      <c r="H29" s="134">
        <v>50</v>
      </c>
      <c r="I29" s="174">
        <v>49.99</v>
      </c>
      <c r="J29" s="175" t="s">
        <v>425</v>
      </c>
    </row>
    <row r="30" spans="1:10">
      <c r="A30" s="129">
        <v>23</v>
      </c>
      <c r="B30" s="167" t="s">
        <v>40</v>
      </c>
      <c r="C30" s="167" t="s">
        <v>420</v>
      </c>
      <c r="D30" s="167" t="s">
        <v>419</v>
      </c>
      <c r="E30" s="138">
        <v>80</v>
      </c>
      <c r="F30" s="138">
        <v>90</v>
      </c>
      <c r="G30" s="173" t="s">
        <v>351</v>
      </c>
      <c r="H30" s="134">
        <v>52</v>
      </c>
      <c r="I30" s="174">
        <v>69.989999999999995</v>
      </c>
      <c r="J30" s="175" t="s">
        <v>424</v>
      </c>
    </row>
  </sheetData>
  <sortState ref="B3:J25">
    <sortCondition ref="B3:B25"/>
    <sortCondition ref="C3:C25"/>
  </sortState>
  <phoneticPr fontId="9" type="noConversion"/>
  <hyperlinks>
    <hyperlink ref="J23" r:id="rId1"/>
    <hyperlink ref="J26" r:id="rId2"/>
    <hyperlink ref="J25" r:id="rId3"/>
    <hyperlink ref="J24" r:id="rId4"/>
    <hyperlink ref="J30" r:id="rId5"/>
    <hyperlink ref="J3" r:id="rId6"/>
    <hyperlink ref="J4" r:id="rId7"/>
  </hyperlinks>
  <pageMargins left="0.7" right="0.7" top="0.75" bottom="0.75" header="0.3" footer="0.3"/>
  <pageSetup scale="46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C12" sqref="C12"/>
    </sheetView>
  </sheetViews>
  <sheetFormatPr baseColWidth="10" defaultColWidth="8.83203125" defaultRowHeight="15" x14ac:dyDescent="0"/>
  <cols>
    <col min="1" max="1" width="5" bestFit="1" customWidth="1"/>
    <col min="2" max="2" width="12.5" bestFit="1" customWidth="1"/>
    <col min="3" max="3" width="22.6640625" bestFit="1" customWidth="1"/>
    <col min="4" max="4" width="4.6640625" style="26" bestFit="1" customWidth="1"/>
    <col min="5" max="5" width="5" style="26" bestFit="1" customWidth="1"/>
    <col min="6" max="6" width="6.33203125" style="27" bestFit="1" customWidth="1"/>
    <col min="7" max="7" width="4.6640625" bestFit="1" customWidth="1"/>
    <col min="8" max="8" width="5.33203125" bestFit="1" customWidth="1"/>
    <col min="9" max="9" width="6" bestFit="1" customWidth="1"/>
    <col min="10" max="11" width="5" bestFit="1" customWidth="1"/>
    <col min="12" max="12" width="5.33203125" style="29" bestFit="1" customWidth="1"/>
    <col min="13" max="13" width="8.6640625" bestFit="1" customWidth="1"/>
    <col min="14" max="14" width="26.1640625" customWidth="1"/>
  </cols>
  <sheetData>
    <row r="1" spans="1:14">
      <c r="A1" t="s">
        <v>375</v>
      </c>
    </row>
    <row r="2" spans="1:14" s="17" customFormat="1" ht="129.75">
      <c r="A2" s="124" t="s">
        <v>27</v>
      </c>
      <c r="B2" s="220" t="s">
        <v>28</v>
      </c>
      <c r="C2" s="220" t="s">
        <v>30</v>
      </c>
      <c r="D2" s="221" t="s">
        <v>31</v>
      </c>
      <c r="E2" s="221" t="s">
        <v>440</v>
      </c>
      <c r="F2" s="222" t="s">
        <v>110</v>
      </c>
      <c r="G2" s="222" t="s">
        <v>111</v>
      </c>
      <c r="H2" s="222" t="s">
        <v>441</v>
      </c>
      <c r="I2" s="222" t="s">
        <v>208</v>
      </c>
      <c r="J2" s="222" t="s">
        <v>168</v>
      </c>
      <c r="K2" s="222" t="s">
        <v>167</v>
      </c>
      <c r="L2" s="222" t="s">
        <v>37</v>
      </c>
      <c r="M2" s="223" t="s">
        <v>39</v>
      </c>
      <c r="N2" s="39" t="s">
        <v>14</v>
      </c>
    </row>
    <row r="3" spans="1:14">
      <c r="A3" s="18">
        <v>1</v>
      </c>
      <c r="B3" s="75" t="s">
        <v>450</v>
      </c>
      <c r="C3" s="75" t="s">
        <v>453</v>
      </c>
      <c r="D3" s="226">
        <v>6</v>
      </c>
      <c r="E3" s="226">
        <v>22.2</v>
      </c>
      <c r="F3" s="225">
        <v>10000</v>
      </c>
      <c r="G3" s="218">
        <v>40</v>
      </c>
      <c r="H3" s="218" t="s">
        <v>42</v>
      </c>
      <c r="I3" s="218">
        <v>165</v>
      </c>
      <c r="J3" s="218">
        <v>62</v>
      </c>
      <c r="K3" s="218">
        <v>55</v>
      </c>
      <c r="L3" s="219">
        <v>1368</v>
      </c>
      <c r="M3" s="217">
        <v>279</v>
      </c>
      <c r="N3" s="65" t="s">
        <v>454</v>
      </c>
    </row>
    <row r="4" spans="1:14">
      <c r="A4" s="18">
        <v>2</v>
      </c>
      <c r="B4" s="75" t="s">
        <v>450</v>
      </c>
      <c r="C4" s="75" t="s">
        <v>451</v>
      </c>
      <c r="D4" s="226">
        <v>6</v>
      </c>
      <c r="E4" s="226">
        <v>22.2</v>
      </c>
      <c r="F4" s="225">
        <v>5000</v>
      </c>
      <c r="G4" s="218">
        <v>40</v>
      </c>
      <c r="H4" s="218" t="s">
        <v>42</v>
      </c>
      <c r="I4" s="218">
        <v>145</v>
      </c>
      <c r="J4" s="218">
        <v>50</v>
      </c>
      <c r="K4" s="218">
        <v>50</v>
      </c>
      <c r="L4" s="219">
        <v>790</v>
      </c>
      <c r="M4" s="217">
        <v>189</v>
      </c>
      <c r="N4" s="65" t="s">
        <v>452</v>
      </c>
    </row>
    <row r="5" spans="1:14">
      <c r="A5" s="18">
        <v>3</v>
      </c>
      <c r="B5" s="75" t="s">
        <v>455</v>
      </c>
      <c r="C5" s="75" t="s">
        <v>461</v>
      </c>
      <c r="D5" s="226">
        <v>5</v>
      </c>
      <c r="E5" s="226">
        <v>18.5</v>
      </c>
      <c r="F5" s="225">
        <v>5000</v>
      </c>
      <c r="G5" s="218">
        <v>30</v>
      </c>
      <c r="H5" s="218" t="s">
        <v>42</v>
      </c>
      <c r="I5" s="218">
        <v>164</v>
      </c>
      <c r="J5" s="218">
        <v>43.2</v>
      </c>
      <c r="K5" s="218">
        <v>45.7</v>
      </c>
      <c r="L5" s="219">
        <v>672</v>
      </c>
      <c r="M5" s="217">
        <v>149.99</v>
      </c>
      <c r="N5" s="40" t="s">
        <v>460</v>
      </c>
    </row>
    <row r="6" spans="1:14">
      <c r="A6" s="18">
        <v>4</v>
      </c>
      <c r="B6" s="75" t="s">
        <v>455</v>
      </c>
      <c r="C6" s="75" t="s">
        <v>458</v>
      </c>
      <c r="D6" s="226">
        <v>6</v>
      </c>
      <c r="E6" s="226">
        <v>22.2</v>
      </c>
      <c r="F6" s="225">
        <v>5000</v>
      </c>
      <c r="G6" s="218">
        <v>30</v>
      </c>
      <c r="H6" s="218" t="s">
        <v>42</v>
      </c>
      <c r="I6" s="218">
        <v>164</v>
      </c>
      <c r="J6" s="218">
        <v>54.6</v>
      </c>
      <c r="K6" s="218">
        <v>43.2</v>
      </c>
      <c r="L6" s="219">
        <v>808</v>
      </c>
      <c r="M6" s="217">
        <v>179.99</v>
      </c>
      <c r="N6" s="40" t="s">
        <v>459</v>
      </c>
    </row>
    <row r="7" spans="1:14">
      <c r="A7" s="18">
        <v>5</v>
      </c>
      <c r="B7" s="75" t="s">
        <v>455</v>
      </c>
      <c r="C7" s="75" t="s">
        <v>456</v>
      </c>
      <c r="D7" s="226">
        <v>6</v>
      </c>
      <c r="E7" s="226">
        <v>22.2</v>
      </c>
      <c r="F7" s="225">
        <v>5000</v>
      </c>
      <c r="G7" s="218">
        <v>50</v>
      </c>
      <c r="H7" s="218" t="s">
        <v>42</v>
      </c>
      <c r="I7" s="218">
        <v>134</v>
      </c>
      <c r="J7" s="218">
        <v>64</v>
      </c>
      <c r="K7" s="218">
        <v>45</v>
      </c>
      <c r="L7" s="219">
        <v>834</v>
      </c>
      <c r="M7" s="217">
        <v>239.99</v>
      </c>
      <c r="N7" s="40" t="s">
        <v>457</v>
      </c>
    </row>
    <row r="8" spans="1:14">
      <c r="A8" s="18">
        <v>6</v>
      </c>
      <c r="B8" s="75" t="s">
        <v>438</v>
      </c>
      <c r="C8" s="75" t="s">
        <v>543</v>
      </c>
      <c r="D8" s="226">
        <v>4</v>
      </c>
      <c r="E8" s="226">
        <v>14.8</v>
      </c>
      <c r="F8" s="215">
        <v>5000</v>
      </c>
      <c r="G8" s="215">
        <v>35</v>
      </c>
      <c r="H8" s="215">
        <v>65</v>
      </c>
      <c r="I8" s="216">
        <v>158.80000000000001</v>
      </c>
      <c r="J8" s="216">
        <v>45</v>
      </c>
      <c r="K8" s="216">
        <v>37.6</v>
      </c>
      <c r="L8" s="216">
        <v>545</v>
      </c>
      <c r="M8" s="217">
        <v>120</v>
      </c>
      <c r="N8" s="40" t="s">
        <v>439</v>
      </c>
    </row>
    <row r="9" spans="1:14">
      <c r="A9" s="18">
        <v>7</v>
      </c>
      <c r="B9" s="75" t="s">
        <v>438</v>
      </c>
      <c r="C9" s="75" t="s">
        <v>544</v>
      </c>
      <c r="D9" s="226">
        <v>4</v>
      </c>
      <c r="E9" s="226">
        <v>14.8</v>
      </c>
      <c r="F9" s="218">
        <v>5400</v>
      </c>
      <c r="G9" s="218">
        <v>35</v>
      </c>
      <c r="H9" s="218">
        <v>65</v>
      </c>
      <c r="I9" s="218">
        <v>158.5</v>
      </c>
      <c r="J9" s="218">
        <v>46.8</v>
      </c>
      <c r="K9" s="218">
        <v>40.200000000000003</v>
      </c>
      <c r="L9" s="219">
        <v>594</v>
      </c>
      <c r="M9" s="217">
        <v>127.99</v>
      </c>
      <c r="N9" s="65" t="s">
        <v>442</v>
      </c>
    </row>
    <row r="10" spans="1:14">
      <c r="A10" s="18">
        <v>8</v>
      </c>
      <c r="B10" s="75" t="s">
        <v>438</v>
      </c>
      <c r="C10" s="75" t="s">
        <v>545</v>
      </c>
      <c r="D10" s="226">
        <v>6</v>
      </c>
      <c r="E10" s="226">
        <v>22.2</v>
      </c>
      <c r="F10" s="218">
        <v>5000</v>
      </c>
      <c r="G10" s="218">
        <v>35</v>
      </c>
      <c r="H10" s="218">
        <v>65</v>
      </c>
      <c r="I10" s="218">
        <v>158.5</v>
      </c>
      <c r="J10" s="218">
        <v>45</v>
      </c>
      <c r="K10" s="218">
        <v>55.8</v>
      </c>
      <c r="L10" s="219">
        <v>849</v>
      </c>
      <c r="M10" s="217">
        <v>163</v>
      </c>
      <c r="N10" s="40" t="s">
        <v>443</v>
      </c>
    </row>
    <row r="11" spans="1:14">
      <c r="A11" s="18">
        <v>9</v>
      </c>
      <c r="B11" s="75" t="s">
        <v>438</v>
      </c>
      <c r="C11" s="75" t="s">
        <v>546</v>
      </c>
      <c r="D11" s="226">
        <v>6</v>
      </c>
      <c r="E11" s="226">
        <v>22.2</v>
      </c>
      <c r="F11" s="218">
        <v>5400</v>
      </c>
      <c r="G11" s="218">
        <v>35</v>
      </c>
      <c r="H11" s="218">
        <v>65</v>
      </c>
      <c r="I11" s="218">
        <v>158.5</v>
      </c>
      <c r="J11" s="218">
        <v>46.8</v>
      </c>
      <c r="K11" s="218">
        <v>60.5</v>
      </c>
      <c r="L11" s="219">
        <v>920</v>
      </c>
      <c r="M11" s="217">
        <v>189</v>
      </c>
      <c r="N11" s="40" t="s">
        <v>444</v>
      </c>
    </row>
    <row r="12" spans="1:14">
      <c r="A12" s="18">
        <v>10</v>
      </c>
      <c r="B12" s="75" t="s">
        <v>462</v>
      </c>
      <c r="C12" s="75" t="s">
        <v>463</v>
      </c>
      <c r="D12" s="226">
        <v>6</v>
      </c>
      <c r="E12" s="226">
        <v>22.2</v>
      </c>
      <c r="F12" s="225">
        <v>5000</v>
      </c>
      <c r="G12" s="218">
        <v>70</v>
      </c>
      <c r="H12" s="218">
        <v>140</v>
      </c>
      <c r="I12" s="218">
        <v>156</v>
      </c>
      <c r="J12" s="218">
        <v>46</v>
      </c>
      <c r="K12" s="218">
        <v>49</v>
      </c>
      <c r="L12" s="219">
        <v>796</v>
      </c>
      <c r="M12" s="217">
        <v>246.99</v>
      </c>
      <c r="N12" s="40" t="s">
        <v>464</v>
      </c>
    </row>
    <row r="13" spans="1:14">
      <c r="A13" s="18">
        <v>11</v>
      </c>
      <c r="B13" s="75" t="s">
        <v>40</v>
      </c>
      <c r="C13" s="75" t="s">
        <v>537</v>
      </c>
      <c r="D13" s="226">
        <v>4</v>
      </c>
      <c r="E13" s="226">
        <v>14.8</v>
      </c>
      <c r="F13" s="218">
        <v>5000</v>
      </c>
      <c r="G13" s="218">
        <v>65</v>
      </c>
      <c r="H13" s="218">
        <v>130</v>
      </c>
      <c r="I13" s="218">
        <v>156</v>
      </c>
      <c r="J13" s="218">
        <v>46</v>
      </c>
      <c r="K13" s="218">
        <v>35</v>
      </c>
      <c r="L13" s="219">
        <v>537</v>
      </c>
      <c r="M13" s="217">
        <v>90.66</v>
      </c>
      <c r="N13" s="40" t="s">
        <v>449</v>
      </c>
    </row>
    <row r="14" spans="1:14">
      <c r="A14" s="18">
        <v>12</v>
      </c>
      <c r="B14" s="75" t="s">
        <v>40</v>
      </c>
      <c r="C14" s="75" t="s">
        <v>538</v>
      </c>
      <c r="D14" s="226">
        <v>6</v>
      </c>
      <c r="E14" s="226">
        <v>22.2</v>
      </c>
      <c r="F14" s="218">
        <v>5000</v>
      </c>
      <c r="G14" s="218">
        <v>65</v>
      </c>
      <c r="H14" s="218">
        <v>130</v>
      </c>
      <c r="I14" s="218">
        <v>156</v>
      </c>
      <c r="J14" s="218">
        <v>46</v>
      </c>
      <c r="K14" s="218">
        <v>51</v>
      </c>
      <c r="L14" s="219">
        <v>786</v>
      </c>
      <c r="M14" s="217">
        <v>148.05000000000001</v>
      </c>
      <c r="N14" s="40" t="s">
        <v>447</v>
      </c>
    </row>
    <row r="15" spans="1:14">
      <c r="A15" s="18">
        <v>13</v>
      </c>
      <c r="B15" s="75" t="s">
        <v>40</v>
      </c>
      <c r="C15" s="75" t="s">
        <v>538</v>
      </c>
      <c r="D15" s="226">
        <v>6</v>
      </c>
      <c r="E15" s="226">
        <v>22.2</v>
      </c>
      <c r="F15" s="218">
        <v>5000</v>
      </c>
      <c r="G15" s="218">
        <v>65</v>
      </c>
      <c r="H15" s="218">
        <v>130</v>
      </c>
      <c r="I15" s="218">
        <v>153</v>
      </c>
      <c r="J15" s="218">
        <v>54</v>
      </c>
      <c r="K15" s="218">
        <v>49</v>
      </c>
      <c r="L15" s="219">
        <v>840</v>
      </c>
      <c r="M15" s="217">
        <v>129.99</v>
      </c>
      <c r="N15" s="65" t="s">
        <v>447</v>
      </c>
    </row>
    <row r="16" spans="1:14">
      <c r="A16" s="18">
        <v>14</v>
      </c>
      <c r="B16" s="75" t="s">
        <v>40</v>
      </c>
      <c r="C16" s="75" t="s">
        <v>539</v>
      </c>
      <c r="D16" s="226">
        <v>6</v>
      </c>
      <c r="E16" s="226">
        <v>22.2</v>
      </c>
      <c r="F16" s="218">
        <v>5000</v>
      </c>
      <c r="G16" s="218">
        <v>65</v>
      </c>
      <c r="H16" s="218">
        <v>130</v>
      </c>
      <c r="I16" s="218">
        <v>156</v>
      </c>
      <c r="J16" s="218">
        <v>51</v>
      </c>
      <c r="K16" s="218">
        <v>46</v>
      </c>
      <c r="L16" s="219">
        <v>786</v>
      </c>
      <c r="M16" s="217">
        <v>148.05000000000001</v>
      </c>
      <c r="N16" s="65" t="s">
        <v>447</v>
      </c>
    </row>
    <row r="17" spans="1:14">
      <c r="A17" s="18">
        <v>15</v>
      </c>
      <c r="B17" s="75" t="s">
        <v>40</v>
      </c>
      <c r="C17" s="75" t="s">
        <v>540</v>
      </c>
      <c r="D17" s="226">
        <v>4</v>
      </c>
      <c r="E17" s="226">
        <v>14.8</v>
      </c>
      <c r="F17" s="218">
        <v>5000</v>
      </c>
      <c r="G17" s="218">
        <v>65</v>
      </c>
      <c r="H17" s="218">
        <v>130</v>
      </c>
      <c r="I17" s="218">
        <v>153</v>
      </c>
      <c r="J17" s="218">
        <v>49</v>
      </c>
      <c r="K17" s="218">
        <v>37</v>
      </c>
      <c r="L17" s="219">
        <v>576</v>
      </c>
      <c r="M17" s="217">
        <v>76.59</v>
      </c>
      <c r="N17" s="65" t="s">
        <v>448</v>
      </c>
    </row>
    <row r="18" spans="1:14">
      <c r="A18" s="18">
        <v>16</v>
      </c>
      <c r="B18" s="75" t="s">
        <v>40</v>
      </c>
      <c r="C18" s="75" t="s">
        <v>541</v>
      </c>
      <c r="D18" s="226">
        <v>5</v>
      </c>
      <c r="E18" s="226">
        <v>18.5</v>
      </c>
      <c r="F18" s="218">
        <v>5000</v>
      </c>
      <c r="G18" s="218">
        <v>65</v>
      </c>
      <c r="H18" s="218">
        <v>130</v>
      </c>
      <c r="I18" s="218">
        <v>154</v>
      </c>
      <c r="J18" s="218">
        <v>46</v>
      </c>
      <c r="K18" s="218">
        <v>49</v>
      </c>
      <c r="L18" s="219">
        <v>712</v>
      </c>
      <c r="M18" s="217">
        <v>88.85</v>
      </c>
      <c r="N18" s="65" t="s">
        <v>446</v>
      </c>
    </row>
    <row r="19" spans="1:14">
      <c r="A19" s="18">
        <v>17</v>
      </c>
      <c r="B19" s="75" t="s">
        <v>40</v>
      </c>
      <c r="C19" s="75" t="s">
        <v>542</v>
      </c>
      <c r="D19" s="226">
        <v>6</v>
      </c>
      <c r="E19" s="226">
        <v>22.2</v>
      </c>
      <c r="F19" s="218">
        <v>5000</v>
      </c>
      <c r="G19" s="218">
        <v>65</v>
      </c>
      <c r="H19" s="218">
        <v>130</v>
      </c>
      <c r="I19" s="218">
        <v>153</v>
      </c>
      <c r="J19" s="218">
        <v>49</v>
      </c>
      <c r="K19" s="218">
        <v>55</v>
      </c>
      <c r="L19" s="219">
        <v>844</v>
      </c>
      <c r="M19" s="217">
        <v>116.7</v>
      </c>
      <c r="N19" s="40" t="s">
        <v>445</v>
      </c>
    </row>
    <row r="20" spans="1:14" s="47" customFormat="1">
      <c r="A20" s="43"/>
      <c r="B20" s="43"/>
      <c r="C20" s="82" t="s">
        <v>376</v>
      </c>
      <c r="D20" s="247">
        <f>MIN(D3:D19)</f>
        <v>4</v>
      </c>
      <c r="E20" s="247">
        <f t="shared" ref="E20:L20" si="0">MIN(E3:E19)</f>
        <v>14.8</v>
      </c>
      <c r="F20" s="247">
        <f t="shared" si="0"/>
        <v>5000</v>
      </c>
      <c r="G20" s="247">
        <f t="shared" si="0"/>
        <v>30</v>
      </c>
      <c r="H20" s="247">
        <f t="shared" si="0"/>
        <v>65</v>
      </c>
      <c r="I20" s="247">
        <f t="shared" si="0"/>
        <v>134</v>
      </c>
      <c r="J20" s="247">
        <f t="shared" si="0"/>
        <v>43.2</v>
      </c>
      <c r="K20" s="247">
        <f t="shared" si="0"/>
        <v>35</v>
      </c>
      <c r="L20" s="46">
        <f t="shared" si="0"/>
        <v>537</v>
      </c>
      <c r="M20" s="56">
        <f>AVERAGE(M3:M19)</f>
        <v>157.87294117647062</v>
      </c>
      <c r="N20" s="57"/>
    </row>
    <row r="21" spans="1:14" s="47" customFormat="1">
      <c r="B21" s="58"/>
      <c r="C21" s="245" t="s">
        <v>377</v>
      </c>
      <c r="D21" s="248">
        <f>MAX(D3:D19)</f>
        <v>6</v>
      </c>
      <c r="E21" s="248">
        <f t="shared" ref="E21:L21" si="1">MAX(E3:E19)</f>
        <v>22.2</v>
      </c>
      <c r="F21" s="248">
        <f t="shared" si="1"/>
        <v>10000</v>
      </c>
      <c r="G21" s="248">
        <f t="shared" si="1"/>
        <v>70</v>
      </c>
      <c r="H21" s="248">
        <f t="shared" si="1"/>
        <v>140</v>
      </c>
      <c r="I21" s="248">
        <f t="shared" si="1"/>
        <v>165</v>
      </c>
      <c r="J21" s="248">
        <f t="shared" si="1"/>
        <v>64</v>
      </c>
      <c r="K21" s="155">
        <f t="shared" si="1"/>
        <v>60.5</v>
      </c>
      <c r="L21" s="248">
        <f t="shared" si="1"/>
        <v>1368</v>
      </c>
      <c r="M21" s="157">
        <f t="shared" ref="M21" si="2">MAX(M3:M19)</f>
        <v>279</v>
      </c>
      <c r="N21"/>
    </row>
    <row r="22" spans="1:14">
      <c r="C22" s="246" t="s">
        <v>378</v>
      </c>
      <c r="D22" s="76">
        <f>AVERAGE(D3:D19)</f>
        <v>5.4117647058823533</v>
      </c>
      <c r="E22" s="69">
        <f t="shared" ref="E22:L22" si="3">AVERAGE(E3:E19)</f>
        <v>20.023529411764706</v>
      </c>
      <c r="F22" s="76">
        <f t="shared" si="3"/>
        <v>5341.1764705882351</v>
      </c>
      <c r="G22" s="76">
        <f t="shared" si="3"/>
        <v>50.294117647058826</v>
      </c>
      <c r="H22" s="76">
        <f t="shared" si="3"/>
        <v>109.16666666666667</v>
      </c>
      <c r="I22" s="76">
        <f t="shared" si="3"/>
        <v>155.48823529411766</v>
      </c>
      <c r="J22" s="76">
        <f t="shared" si="3"/>
        <v>49.670588235294119</v>
      </c>
      <c r="K22" s="76">
        <f t="shared" si="3"/>
        <v>47.294117647058826</v>
      </c>
      <c r="L22" s="76">
        <f t="shared" si="3"/>
        <v>779.82352941176475</v>
      </c>
      <c r="M22" s="101">
        <f t="shared" ref="M22" si="4">AVERAGE(M3:M19)</f>
        <v>157.87294117647062</v>
      </c>
    </row>
  </sheetData>
  <sortState ref="B3:N19">
    <sortCondition ref="B3:B19"/>
    <sortCondition ref="C3:C19"/>
  </sortState>
  <hyperlinks>
    <hyperlink ref="N9" r:id="rId1"/>
    <hyperlink ref="N18" r:id="rId2"/>
    <hyperlink ref="N17" r:id="rId3"/>
    <hyperlink ref="N16" r:id="rId4"/>
    <hyperlink ref="N15" r:id="rId5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I29" sqref="I29"/>
    </sheetView>
  </sheetViews>
  <sheetFormatPr baseColWidth="10" defaultColWidth="8.83203125" defaultRowHeight="15" x14ac:dyDescent="0"/>
  <cols>
    <col min="1" max="1" width="5" bestFit="1" customWidth="1"/>
    <col min="2" max="2" width="15.5" bestFit="1" customWidth="1"/>
    <col min="3" max="3" width="13.5" bestFit="1" customWidth="1"/>
    <col min="4" max="4" width="7.6640625" bestFit="1" customWidth="1"/>
    <col min="5" max="10" width="4.6640625" bestFit="1" customWidth="1"/>
    <col min="11" max="11" width="7.6640625" bestFit="1" customWidth="1"/>
    <col min="12" max="12" width="27" customWidth="1"/>
  </cols>
  <sheetData>
    <row r="1" spans="1:14">
      <c r="A1" t="s">
        <v>58</v>
      </c>
    </row>
    <row r="2" spans="1:14" ht="60.75">
      <c r="A2" s="1" t="s">
        <v>27</v>
      </c>
      <c r="B2" s="2" t="s">
        <v>28</v>
      </c>
      <c r="C2" s="2" t="s">
        <v>29</v>
      </c>
      <c r="D2" s="2" t="s">
        <v>30</v>
      </c>
      <c r="E2" s="2" t="s">
        <v>465</v>
      </c>
      <c r="F2" s="14" t="s">
        <v>225</v>
      </c>
      <c r="G2" s="2" t="s">
        <v>226</v>
      </c>
      <c r="H2" s="2" t="s">
        <v>97</v>
      </c>
      <c r="I2" s="2" t="s">
        <v>37</v>
      </c>
      <c r="J2" s="2" t="s">
        <v>468</v>
      </c>
      <c r="K2" s="15" t="s">
        <v>39</v>
      </c>
      <c r="L2" s="16" t="s">
        <v>14</v>
      </c>
      <c r="M2" s="17"/>
      <c r="N2" s="17"/>
    </row>
    <row r="3" spans="1:14">
      <c r="A3" s="18">
        <v>1</v>
      </c>
      <c r="B3" s="224" t="s">
        <v>498</v>
      </c>
      <c r="C3" s="224" t="s">
        <v>499</v>
      </c>
      <c r="D3" s="87" t="s">
        <v>500</v>
      </c>
      <c r="E3" s="6" t="s">
        <v>116</v>
      </c>
      <c r="F3" s="228">
        <v>12</v>
      </c>
      <c r="G3" s="24">
        <v>4.5</v>
      </c>
      <c r="H3" s="19" t="s">
        <v>501</v>
      </c>
      <c r="I3" s="22">
        <v>0</v>
      </c>
      <c r="J3" s="22">
        <v>1</v>
      </c>
      <c r="K3" s="23">
        <v>4</v>
      </c>
      <c r="L3" s="65" t="s">
        <v>502</v>
      </c>
    </row>
    <row r="4" spans="1:14">
      <c r="A4" s="18">
        <v>2</v>
      </c>
      <c r="B4" s="224" t="s">
        <v>68</v>
      </c>
      <c r="C4" s="224" t="s">
        <v>510</v>
      </c>
      <c r="D4" s="87" t="s">
        <v>511</v>
      </c>
      <c r="E4" s="6" t="s">
        <v>94</v>
      </c>
      <c r="F4" s="228">
        <v>15</v>
      </c>
      <c r="G4" s="24">
        <v>5.2</v>
      </c>
      <c r="H4" s="19" t="s">
        <v>42</v>
      </c>
      <c r="I4" s="22">
        <v>13</v>
      </c>
      <c r="J4" s="22">
        <v>2</v>
      </c>
      <c r="K4" s="23">
        <v>69</v>
      </c>
      <c r="L4" s="40" t="s">
        <v>512</v>
      </c>
    </row>
    <row r="5" spans="1:14">
      <c r="A5" s="18">
        <v>3</v>
      </c>
      <c r="B5" s="224" t="s">
        <v>68</v>
      </c>
      <c r="C5" s="224" t="s">
        <v>510</v>
      </c>
      <c r="D5" s="87" t="s">
        <v>511</v>
      </c>
      <c r="E5" s="6" t="s">
        <v>94</v>
      </c>
      <c r="F5" s="228">
        <v>15</v>
      </c>
      <c r="G5" s="24">
        <v>5.2</v>
      </c>
      <c r="H5" s="19" t="s">
        <v>501</v>
      </c>
      <c r="I5" s="22">
        <v>13</v>
      </c>
      <c r="J5" s="22">
        <v>2</v>
      </c>
      <c r="K5" s="23">
        <v>45</v>
      </c>
      <c r="L5" s="40" t="s">
        <v>513</v>
      </c>
    </row>
    <row r="6" spans="1:14">
      <c r="A6" s="18">
        <v>4</v>
      </c>
      <c r="B6" s="224" t="s">
        <v>470</v>
      </c>
      <c r="C6" s="224" t="s">
        <v>508</v>
      </c>
      <c r="D6" s="87" t="s">
        <v>42</v>
      </c>
      <c r="E6" s="6" t="s">
        <v>94</v>
      </c>
      <c r="F6" s="227" t="s">
        <v>42</v>
      </c>
      <c r="G6" s="24" t="s">
        <v>42</v>
      </c>
      <c r="H6" s="19" t="s">
        <v>98</v>
      </c>
      <c r="I6" s="22">
        <v>0</v>
      </c>
      <c r="J6" s="22">
        <v>1</v>
      </c>
      <c r="K6" s="23">
        <v>20</v>
      </c>
      <c r="L6" s="40" t="s">
        <v>509</v>
      </c>
    </row>
    <row r="7" spans="1:14">
      <c r="A7" s="18">
        <v>5</v>
      </c>
      <c r="B7" s="224" t="s">
        <v>470</v>
      </c>
      <c r="C7" s="224" t="s">
        <v>484</v>
      </c>
      <c r="D7" s="87" t="s">
        <v>485</v>
      </c>
      <c r="E7" s="6" t="s">
        <v>116</v>
      </c>
      <c r="F7" s="228">
        <v>14</v>
      </c>
      <c r="G7" s="24">
        <v>7</v>
      </c>
      <c r="H7" s="19" t="s">
        <v>98</v>
      </c>
      <c r="I7" s="22">
        <v>0</v>
      </c>
      <c r="J7" s="22">
        <v>2</v>
      </c>
      <c r="K7" s="23">
        <v>36</v>
      </c>
      <c r="L7" s="65" t="s">
        <v>486</v>
      </c>
    </row>
    <row r="8" spans="1:14">
      <c r="A8" s="18">
        <v>6</v>
      </c>
      <c r="B8" s="224" t="s">
        <v>470</v>
      </c>
      <c r="C8" s="224" t="s">
        <v>471</v>
      </c>
      <c r="D8" s="87" t="s">
        <v>472</v>
      </c>
      <c r="E8" s="6" t="s">
        <v>116</v>
      </c>
      <c r="F8" s="228">
        <v>15.5</v>
      </c>
      <c r="G8" s="24">
        <v>5.5</v>
      </c>
      <c r="H8" s="19" t="s">
        <v>98</v>
      </c>
      <c r="I8" s="22">
        <v>20</v>
      </c>
      <c r="J8" s="22">
        <v>2</v>
      </c>
      <c r="K8" s="23">
        <v>40</v>
      </c>
      <c r="L8" s="40" t="s">
        <v>473</v>
      </c>
    </row>
    <row r="9" spans="1:14">
      <c r="A9" s="18">
        <v>7</v>
      </c>
      <c r="B9" s="224" t="s">
        <v>470</v>
      </c>
      <c r="C9" s="224" t="s">
        <v>487</v>
      </c>
      <c r="D9" s="87" t="s">
        <v>478</v>
      </c>
      <c r="E9" s="6" t="s">
        <v>116</v>
      </c>
      <c r="F9" s="228">
        <v>15</v>
      </c>
      <c r="G9" s="24">
        <v>5.5</v>
      </c>
      <c r="H9" s="19" t="s">
        <v>98</v>
      </c>
      <c r="I9" s="22">
        <v>16.399999999999999</v>
      </c>
      <c r="J9" s="22">
        <v>2</v>
      </c>
      <c r="K9" s="23">
        <v>40</v>
      </c>
      <c r="L9" s="65" t="s">
        <v>488</v>
      </c>
    </row>
    <row r="10" spans="1:14">
      <c r="A10" s="18">
        <v>8</v>
      </c>
      <c r="B10" s="224" t="s">
        <v>477</v>
      </c>
      <c r="C10" s="224" t="s">
        <v>269</v>
      </c>
      <c r="D10" s="87" t="s">
        <v>478</v>
      </c>
      <c r="E10" s="6" t="s">
        <v>116</v>
      </c>
      <c r="F10" s="228">
        <v>15</v>
      </c>
      <c r="G10" s="24">
        <v>5.5</v>
      </c>
      <c r="H10" s="19" t="s">
        <v>98</v>
      </c>
      <c r="I10" s="22">
        <v>0</v>
      </c>
      <c r="J10" s="22">
        <v>2</v>
      </c>
      <c r="K10" s="23">
        <v>40</v>
      </c>
      <c r="L10" s="40" t="s">
        <v>479</v>
      </c>
    </row>
    <row r="11" spans="1:14">
      <c r="A11" s="18">
        <v>9</v>
      </c>
      <c r="B11" s="224" t="s">
        <v>470</v>
      </c>
      <c r="C11" s="224" t="s">
        <v>489</v>
      </c>
      <c r="D11" s="87" t="s">
        <v>490</v>
      </c>
      <c r="E11" s="6" t="s">
        <v>116</v>
      </c>
      <c r="F11" s="228">
        <v>15</v>
      </c>
      <c r="G11" s="24">
        <v>7.5</v>
      </c>
      <c r="H11" s="19" t="s">
        <v>98</v>
      </c>
      <c r="I11" s="22">
        <v>12.5</v>
      </c>
      <c r="J11" s="22">
        <v>2</v>
      </c>
      <c r="K11" s="23">
        <v>40</v>
      </c>
      <c r="L11" s="40" t="s">
        <v>491</v>
      </c>
    </row>
    <row r="12" spans="1:14">
      <c r="A12" s="18">
        <v>10</v>
      </c>
      <c r="B12" s="224" t="s">
        <v>480</v>
      </c>
      <c r="C12" s="224" t="s">
        <v>481</v>
      </c>
      <c r="D12" s="87" t="s">
        <v>506</v>
      </c>
      <c r="E12" s="6" t="s">
        <v>116</v>
      </c>
      <c r="F12" s="228">
        <v>11</v>
      </c>
      <c r="G12" s="24">
        <v>5</v>
      </c>
      <c r="H12" s="19" t="s">
        <v>98</v>
      </c>
      <c r="I12" s="22">
        <v>0</v>
      </c>
      <c r="J12" s="22">
        <v>1</v>
      </c>
      <c r="K12" s="23">
        <v>12</v>
      </c>
      <c r="L12" s="40" t="s">
        <v>507</v>
      </c>
    </row>
    <row r="13" spans="1:14">
      <c r="A13" s="18">
        <v>11</v>
      </c>
      <c r="B13" s="224" t="s">
        <v>480</v>
      </c>
      <c r="C13" s="224" t="s">
        <v>481</v>
      </c>
      <c r="D13" s="87" t="s">
        <v>482</v>
      </c>
      <c r="E13" s="6" t="s">
        <v>116</v>
      </c>
      <c r="F13" s="228">
        <v>14</v>
      </c>
      <c r="G13" s="24">
        <v>8</v>
      </c>
      <c r="H13" s="19" t="s">
        <v>98</v>
      </c>
      <c r="I13" s="22">
        <v>0</v>
      </c>
      <c r="J13" s="22">
        <v>1</v>
      </c>
      <c r="K13" s="23">
        <v>18</v>
      </c>
      <c r="L13" s="40" t="s">
        <v>483</v>
      </c>
    </row>
    <row r="14" spans="1:14">
      <c r="A14" s="18">
        <v>12</v>
      </c>
      <c r="B14" s="224" t="s">
        <v>514</v>
      </c>
      <c r="C14" s="224" t="s">
        <v>515</v>
      </c>
      <c r="D14" s="87" t="s">
        <v>478</v>
      </c>
      <c r="E14" s="6" t="s">
        <v>116</v>
      </c>
      <c r="F14" s="228">
        <v>15</v>
      </c>
      <c r="G14" s="24">
        <v>5.5</v>
      </c>
      <c r="H14" s="19" t="s">
        <v>98</v>
      </c>
      <c r="I14" s="22">
        <v>0</v>
      </c>
      <c r="J14" s="22">
        <v>2</v>
      </c>
      <c r="K14" s="23">
        <v>35</v>
      </c>
      <c r="L14" s="40" t="s">
        <v>516</v>
      </c>
    </row>
    <row r="15" spans="1:14">
      <c r="A15" s="18">
        <v>13</v>
      </c>
      <c r="B15" s="224" t="s">
        <v>514</v>
      </c>
      <c r="C15" s="224" t="s">
        <v>515</v>
      </c>
      <c r="D15" s="87" t="s">
        <v>517</v>
      </c>
      <c r="E15" s="6" t="s">
        <v>116</v>
      </c>
      <c r="F15" s="228">
        <v>16</v>
      </c>
      <c r="G15" s="24">
        <v>5.5</v>
      </c>
      <c r="H15" s="19" t="s">
        <v>98</v>
      </c>
      <c r="I15" s="22">
        <v>0</v>
      </c>
      <c r="J15" s="22">
        <v>2</v>
      </c>
      <c r="K15" s="23">
        <v>38</v>
      </c>
      <c r="L15" s="40" t="s">
        <v>518</v>
      </c>
    </row>
    <row r="16" spans="1:14">
      <c r="A16" s="18">
        <v>14</v>
      </c>
      <c r="B16" s="224" t="s">
        <v>398</v>
      </c>
      <c r="C16" s="224" t="s">
        <v>495</v>
      </c>
      <c r="D16" s="87" t="s">
        <v>496</v>
      </c>
      <c r="E16" s="6" t="s">
        <v>116</v>
      </c>
      <c r="F16" s="228">
        <v>11</v>
      </c>
      <c r="G16" s="24">
        <v>5.5</v>
      </c>
      <c r="H16" s="19" t="s">
        <v>98</v>
      </c>
      <c r="I16" s="22">
        <v>0</v>
      </c>
      <c r="J16" s="22">
        <v>2</v>
      </c>
      <c r="K16" s="23">
        <v>26</v>
      </c>
      <c r="L16" s="40" t="s">
        <v>497</v>
      </c>
    </row>
    <row r="17" spans="1:12">
      <c r="A17" s="18">
        <v>15</v>
      </c>
      <c r="B17" s="224" t="s">
        <v>398</v>
      </c>
      <c r="C17" s="224" t="s">
        <v>503</v>
      </c>
      <c r="D17" s="87" t="s">
        <v>504</v>
      </c>
      <c r="E17" s="6" t="s">
        <v>116</v>
      </c>
      <c r="F17" s="228">
        <v>12</v>
      </c>
      <c r="G17" s="24">
        <v>5.5</v>
      </c>
      <c r="H17" s="19" t="s">
        <v>98</v>
      </c>
      <c r="I17" s="22">
        <v>0</v>
      </c>
      <c r="J17" s="22">
        <v>2</v>
      </c>
      <c r="K17" s="23">
        <v>30</v>
      </c>
      <c r="L17" s="40" t="s">
        <v>505</v>
      </c>
    </row>
    <row r="18" spans="1:12">
      <c r="A18" s="18">
        <v>16</v>
      </c>
      <c r="B18" s="224" t="s">
        <v>398</v>
      </c>
      <c r="C18" s="224" t="s">
        <v>494</v>
      </c>
      <c r="D18" s="87" t="s">
        <v>493</v>
      </c>
      <c r="E18" s="6" t="s">
        <v>116</v>
      </c>
      <c r="F18" s="228">
        <v>13</v>
      </c>
      <c r="G18" s="24">
        <v>5.5</v>
      </c>
      <c r="H18" s="19" t="s">
        <v>98</v>
      </c>
      <c r="I18" s="22">
        <v>0</v>
      </c>
      <c r="J18" s="22">
        <v>2</v>
      </c>
      <c r="K18" s="23">
        <v>35</v>
      </c>
      <c r="L18" s="40" t="s">
        <v>492</v>
      </c>
    </row>
    <row r="19" spans="1:12">
      <c r="A19" s="18">
        <v>17</v>
      </c>
      <c r="B19" s="224" t="s">
        <v>398</v>
      </c>
      <c r="C19" s="224" t="s">
        <v>476</v>
      </c>
      <c r="D19" s="87" t="s">
        <v>475</v>
      </c>
      <c r="E19" s="6" t="s">
        <v>116</v>
      </c>
      <c r="F19" s="228">
        <v>14</v>
      </c>
      <c r="G19" s="24">
        <v>5.5</v>
      </c>
      <c r="H19" s="19" t="s">
        <v>98</v>
      </c>
      <c r="I19" s="22">
        <v>0</v>
      </c>
      <c r="J19" s="22">
        <v>2</v>
      </c>
      <c r="K19" s="23">
        <v>40</v>
      </c>
      <c r="L19" s="40" t="s">
        <v>474</v>
      </c>
    </row>
    <row r="20" spans="1:12">
      <c r="A20" s="18">
        <v>18</v>
      </c>
      <c r="B20" s="224" t="s">
        <v>466</v>
      </c>
      <c r="C20" s="224" t="s">
        <v>269</v>
      </c>
      <c r="D20" s="87" t="s">
        <v>467</v>
      </c>
      <c r="E20" s="6" t="s">
        <v>116</v>
      </c>
      <c r="F20" s="228">
        <v>15</v>
      </c>
      <c r="G20" s="5">
        <v>5</v>
      </c>
      <c r="H20" s="5" t="s">
        <v>98</v>
      </c>
      <c r="I20" s="21">
        <v>0</v>
      </c>
      <c r="J20" s="21">
        <v>2</v>
      </c>
      <c r="K20" s="23">
        <v>75</v>
      </c>
      <c r="L20" s="40" t="s">
        <v>469</v>
      </c>
    </row>
    <row r="21" spans="1:12">
      <c r="A21" s="18">
        <v>19</v>
      </c>
      <c r="B21" s="224" t="s">
        <v>526</v>
      </c>
      <c r="C21" s="224" t="s">
        <v>515</v>
      </c>
      <c r="D21" s="87" t="s">
        <v>530</v>
      </c>
      <c r="E21" s="6" t="s">
        <v>116</v>
      </c>
      <c r="F21" s="228">
        <v>12</v>
      </c>
      <c r="G21" s="24">
        <v>3.8</v>
      </c>
      <c r="H21" s="19" t="s">
        <v>98</v>
      </c>
      <c r="I21" s="22">
        <v>15.4</v>
      </c>
      <c r="J21" s="22">
        <v>2</v>
      </c>
      <c r="K21" s="23">
        <v>20</v>
      </c>
      <c r="L21" s="40" t="s">
        <v>531</v>
      </c>
    </row>
    <row r="22" spans="1:12">
      <c r="A22" s="18">
        <v>20</v>
      </c>
      <c r="B22" s="224" t="s">
        <v>526</v>
      </c>
      <c r="C22" s="224" t="s">
        <v>515</v>
      </c>
      <c r="D22" s="87" t="s">
        <v>532</v>
      </c>
      <c r="E22" s="6" t="s">
        <v>116</v>
      </c>
      <c r="F22" s="228">
        <v>13</v>
      </c>
      <c r="G22" s="24">
        <v>4</v>
      </c>
      <c r="H22" s="19" t="s">
        <v>98</v>
      </c>
      <c r="I22" s="22">
        <v>0</v>
      </c>
      <c r="J22" s="22">
        <v>2</v>
      </c>
      <c r="K22" s="23">
        <v>20</v>
      </c>
      <c r="L22" s="40" t="s">
        <v>533</v>
      </c>
    </row>
    <row r="23" spans="1:12">
      <c r="A23" s="18">
        <v>21</v>
      </c>
      <c r="B23" s="224" t="s">
        <v>526</v>
      </c>
      <c r="C23" s="224" t="s">
        <v>515</v>
      </c>
      <c r="D23" s="87" t="s">
        <v>534</v>
      </c>
      <c r="E23" s="6" t="s">
        <v>116</v>
      </c>
      <c r="F23" s="228">
        <v>15</v>
      </c>
      <c r="G23" s="24">
        <v>4</v>
      </c>
      <c r="H23" s="19" t="s">
        <v>98</v>
      </c>
      <c r="I23" s="22">
        <v>17</v>
      </c>
      <c r="J23" s="22">
        <v>2</v>
      </c>
      <c r="K23" s="23">
        <v>29.99</v>
      </c>
      <c r="L23" s="40" t="s">
        <v>535</v>
      </c>
    </row>
    <row r="24" spans="1:12">
      <c r="A24" s="18">
        <v>22</v>
      </c>
      <c r="B24" s="224" t="s">
        <v>526</v>
      </c>
      <c r="C24" s="224" t="s">
        <v>527</v>
      </c>
      <c r="D24" s="87" t="s">
        <v>478</v>
      </c>
      <c r="E24" s="6" t="s">
        <v>116</v>
      </c>
      <c r="F24" s="228">
        <v>15</v>
      </c>
      <c r="G24" s="24">
        <v>5.5</v>
      </c>
      <c r="H24" s="19" t="s">
        <v>98</v>
      </c>
      <c r="I24" s="22">
        <v>0</v>
      </c>
      <c r="J24" s="22">
        <v>2</v>
      </c>
      <c r="K24" s="23">
        <v>35</v>
      </c>
      <c r="L24" s="40" t="s">
        <v>528</v>
      </c>
    </row>
    <row r="25" spans="1:12">
      <c r="A25" s="18">
        <v>23</v>
      </c>
      <c r="B25" s="224" t="s">
        <v>526</v>
      </c>
      <c r="C25" s="224" t="s">
        <v>527</v>
      </c>
      <c r="D25" s="87" t="s">
        <v>524</v>
      </c>
      <c r="E25" s="6" t="s">
        <v>116</v>
      </c>
      <c r="F25" s="228">
        <v>17</v>
      </c>
      <c r="G25" s="24">
        <v>5.5</v>
      </c>
      <c r="H25" s="19" t="s">
        <v>98</v>
      </c>
      <c r="I25" s="22">
        <v>0</v>
      </c>
      <c r="J25" s="22">
        <v>2</v>
      </c>
      <c r="K25" s="23">
        <v>45</v>
      </c>
      <c r="L25" s="40" t="s">
        <v>529</v>
      </c>
    </row>
    <row r="26" spans="1:12">
      <c r="A26" s="18">
        <v>24</v>
      </c>
      <c r="B26" s="224" t="s">
        <v>141</v>
      </c>
      <c r="C26" s="224" t="s">
        <v>519</v>
      </c>
      <c r="D26" s="87" t="s">
        <v>504</v>
      </c>
      <c r="E26" s="6" t="s">
        <v>116</v>
      </c>
      <c r="F26" s="228">
        <v>12</v>
      </c>
      <c r="G26" s="24">
        <v>5.5</v>
      </c>
      <c r="H26" s="19" t="s">
        <v>98</v>
      </c>
      <c r="I26" s="22">
        <v>11.2</v>
      </c>
      <c r="J26" s="22">
        <v>2</v>
      </c>
      <c r="K26" s="23">
        <v>15</v>
      </c>
      <c r="L26" s="40" t="s">
        <v>521</v>
      </c>
    </row>
    <row r="27" spans="1:12">
      <c r="A27" s="18">
        <v>25</v>
      </c>
      <c r="B27" s="224" t="s">
        <v>141</v>
      </c>
      <c r="C27" s="224" t="s">
        <v>519</v>
      </c>
      <c r="D27" s="87" t="s">
        <v>493</v>
      </c>
      <c r="E27" s="6" t="s">
        <v>116</v>
      </c>
      <c r="F27" s="228">
        <v>13</v>
      </c>
      <c r="G27" s="24">
        <v>5.5</v>
      </c>
      <c r="H27" s="19" t="s">
        <v>98</v>
      </c>
      <c r="I27" s="22">
        <v>14</v>
      </c>
      <c r="J27" s="22">
        <v>2</v>
      </c>
      <c r="K27" s="23">
        <v>18</v>
      </c>
      <c r="L27" s="40" t="s">
        <v>522</v>
      </c>
    </row>
    <row r="28" spans="1:12">
      <c r="A28" s="18">
        <v>26</v>
      </c>
      <c r="B28" s="224" t="s">
        <v>141</v>
      </c>
      <c r="C28" s="224" t="s">
        <v>519</v>
      </c>
      <c r="D28" s="87" t="s">
        <v>478</v>
      </c>
      <c r="E28" s="6" t="s">
        <v>116</v>
      </c>
      <c r="F28" s="228">
        <v>15</v>
      </c>
      <c r="G28" s="24">
        <v>5.5</v>
      </c>
      <c r="H28" s="19" t="s">
        <v>98</v>
      </c>
      <c r="I28" s="22">
        <v>18.2</v>
      </c>
      <c r="J28" s="22">
        <v>2</v>
      </c>
      <c r="K28" s="23">
        <v>25</v>
      </c>
      <c r="L28" s="40" t="s">
        <v>520</v>
      </c>
    </row>
    <row r="29" spans="1:12">
      <c r="A29" s="18">
        <v>27</v>
      </c>
      <c r="B29" s="224" t="s">
        <v>141</v>
      </c>
      <c r="C29" s="224" t="s">
        <v>519</v>
      </c>
      <c r="D29" s="87" t="s">
        <v>517</v>
      </c>
      <c r="E29" s="6" t="s">
        <v>116</v>
      </c>
      <c r="F29" s="228">
        <v>16</v>
      </c>
      <c r="G29" s="24">
        <v>5.5</v>
      </c>
      <c r="H29" s="19" t="s">
        <v>98</v>
      </c>
      <c r="I29" s="22">
        <v>23</v>
      </c>
      <c r="J29" s="22">
        <v>2</v>
      </c>
      <c r="K29" s="23">
        <v>28</v>
      </c>
      <c r="L29" s="40" t="s">
        <v>523</v>
      </c>
    </row>
    <row r="30" spans="1:12">
      <c r="A30" s="18">
        <v>28</v>
      </c>
      <c r="B30" s="224" t="s">
        <v>141</v>
      </c>
      <c r="C30" s="224" t="s">
        <v>519</v>
      </c>
      <c r="D30" s="87" t="s">
        <v>524</v>
      </c>
      <c r="E30" s="6" t="s">
        <v>116</v>
      </c>
      <c r="F30" s="228">
        <v>17</v>
      </c>
      <c r="G30" s="24">
        <v>5.5</v>
      </c>
      <c r="H30" s="19" t="s">
        <v>98</v>
      </c>
      <c r="I30" s="22">
        <v>0</v>
      </c>
      <c r="J30" s="22">
        <v>2</v>
      </c>
      <c r="K30" s="23">
        <v>35</v>
      </c>
      <c r="L30" s="40" t="s">
        <v>525</v>
      </c>
    </row>
    <row r="31" spans="1:12">
      <c r="F31" s="26"/>
      <c r="G31" s="27"/>
      <c r="I31" s="29"/>
      <c r="J31" s="29"/>
    </row>
    <row r="32" spans="1:12">
      <c r="F32" s="26"/>
      <c r="G32" s="27"/>
      <c r="I32" s="29"/>
      <c r="J32" s="29"/>
    </row>
    <row r="33" spans="6:10">
      <c r="F33" s="26"/>
      <c r="G33" s="27"/>
      <c r="I33" s="29"/>
      <c r="J33" s="29"/>
    </row>
    <row r="34" spans="6:10">
      <c r="F34" s="26"/>
      <c r="G34" s="27"/>
      <c r="I34" s="29"/>
      <c r="J34" s="29"/>
    </row>
  </sheetData>
  <sortState ref="B3:L30">
    <sortCondition ref="B3:B30"/>
    <sortCondition ref="D3:D30"/>
    <sortCondition ref="C3:C30"/>
  </sortState>
  <hyperlinks>
    <hyperlink ref="L7" r:id="rId1"/>
    <hyperlink ref="L9" r:id="rId2"/>
    <hyperlink ref="L3" r:id="rId3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6" sqref="S6"/>
    </sheetView>
  </sheetViews>
  <sheetFormatPr baseColWidth="10" defaultColWidth="8.83203125" defaultRowHeight="15" x14ac:dyDescent="0"/>
  <cols>
    <col min="1" max="1" width="5" bestFit="1" customWidth="1"/>
    <col min="2" max="2" width="17.1640625" bestFit="1" customWidth="1"/>
    <col min="3" max="3" width="10.5" bestFit="1" customWidth="1"/>
    <col min="4" max="4" width="8.5" bestFit="1" customWidth="1"/>
    <col min="5" max="5" width="5.83203125" bestFit="1" customWidth="1"/>
    <col min="6" max="6" width="5.1640625" bestFit="1" customWidth="1"/>
    <col min="7" max="8" width="5.1640625" customWidth="1"/>
    <col min="9" max="9" width="5" bestFit="1" customWidth="1"/>
    <col min="10" max="10" width="13.3320312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33203125" bestFit="1" customWidth="1"/>
    <col min="16" max="16" width="9.1640625" bestFit="1" customWidth="1"/>
    <col min="17" max="17" width="8.6640625" bestFit="1" customWidth="1"/>
    <col min="18" max="18" width="9" customWidth="1"/>
    <col min="19" max="19" width="13.6640625" bestFit="1" customWidth="1"/>
  </cols>
  <sheetData>
    <row r="1" spans="1:21">
      <c r="A1" t="s">
        <v>55</v>
      </c>
    </row>
    <row r="2" spans="1:21" ht="165.75">
      <c r="A2" s="1" t="s">
        <v>150</v>
      </c>
      <c r="B2" s="2" t="s">
        <v>28</v>
      </c>
      <c r="C2" s="2" t="s">
        <v>29</v>
      </c>
      <c r="D2" s="2" t="s">
        <v>30</v>
      </c>
      <c r="E2" s="14" t="s">
        <v>151</v>
      </c>
      <c r="F2" s="2" t="s">
        <v>152</v>
      </c>
      <c r="G2" s="2" t="s">
        <v>167</v>
      </c>
      <c r="H2" s="2" t="s">
        <v>168</v>
      </c>
      <c r="I2" s="2" t="s">
        <v>169</v>
      </c>
      <c r="J2" s="2" t="s">
        <v>165</v>
      </c>
      <c r="K2" s="2" t="s">
        <v>37</v>
      </c>
      <c r="L2" s="2" t="s">
        <v>156</v>
      </c>
      <c r="M2" s="2" t="s">
        <v>161</v>
      </c>
      <c r="N2" s="2" t="s">
        <v>157</v>
      </c>
      <c r="O2" s="2" t="s">
        <v>153</v>
      </c>
      <c r="P2" s="2" t="s">
        <v>183</v>
      </c>
      <c r="Q2" s="15" t="s">
        <v>155</v>
      </c>
      <c r="R2" s="16" t="s">
        <v>186</v>
      </c>
      <c r="S2" s="16" t="s">
        <v>14</v>
      </c>
      <c r="T2" s="17"/>
      <c r="U2" s="17"/>
    </row>
    <row r="3" spans="1:21">
      <c r="A3" s="18">
        <v>1</v>
      </c>
      <c r="B3" s="19" t="s">
        <v>158</v>
      </c>
      <c r="C3" s="19" t="s">
        <v>159</v>
      </c>
      <c r="D3" s="6" t="s">
        <v>160</v>
      </c>
      <c r="E3" s="20" t="s">
        <v>166</v>
      </c>
      <c r="F3" s="5" t="s">
        <v>94</v>
      </c>
      <c r="G3" s="5">
        <v>68.3</v>
      </c>
      <c r="H3" s="5">
        <v>51.3</v>
      </c>
      <c r="I3" s="5">
        <v>21.4</v>
      </c>
      <c r="J3" s="21" t="s">
        <v>179</v>
      </c>
      <c r="K3" s="21">
        <v>88</v>
      </c>
      <c r="L3" s="21" t="s">
        <v>162</v>
      </c>
      <c r="M3" s="21" t="s">
        <v>163</v>
      </c>
      <c r="N3" s="21" t="s">
        <v>94</v>
      </c>
      <c r="O3" s="66">
        <v>99.99</v>
      </c>
      <c r="P3" s="66" t="s">
        <v>184</v>
      </c>
      <c r="Q3" s="23">
        <v>99.85</v>
      </c>
      <c r="R3" s="23">
        <f>O3+Q3</f>
        <v>199.83999999999997</v>
      </c>
      <c r="S3" s="65" t="s">
        <v>164</v>
      </c>
    </row>
    <row r="4" spans="1:21">
      <c r="A4" s="18">
        <v>2</v>
      </c>
      <c r="B4" s="19" t="s">
        <v>180</v>
      </c>
      <c r="C4" s="19" t="s">
        <v>159</v>
      </c>
      <c r="D4" s="6" t="s">
        <v>181</v>
      </c>
      <c r="E4" s="20"/>
      <c r="F4" s="24"/>
      <c r="G4" s="24">
        <v>55</v>
      </c>
      <c r="H4" s="24">
        <v>50</v>
      </c>
      <c r="I4" s="19">
        <v>25</v>
      </c>
      <c r="J4" s="19"/>
      <c r="K4" s="22">
        <v>80</v>
      </c>
      <c r="L4" s="22"/>
      <c r="M4" s="22" t="s">
        <v>182</v>
      </c>
      <c r="N4" s="22"/>
      <c r="O4" s="67">
        <v>29.95</v>
      </c>
      <c r="P4" s="67" t="s">
        <v>185</v>
      </c>
      <c r="Q4" s="23">
        <v>99.95</v>
      </c>
      <c r="R4" s="23">
        <f>O4*12+Q4</f>
        <v>459.34999999999997</v>
      </c>
      <c r="S4" s="40"/>
    </row>
    <row r="5" spans="1:21">
      <c r="A5" s="43"/>
      <c r="B5" s="43"/>
      <c r="C5" s="43"/>
      <c r="D5" s="54"/>
      <c r="E5" s="44"/>
      <c r="F5" s="51"/>
      <c r="G5" s="51"/>
      <c r="H5" s="51"/>
      <c r="I5" s="43"/>
      <c r="J5" s="43"/>
      <c r="K5" s="55"/>
      <c r="L5" s="55"/>
      <c r="M5" s="55"/>
      <c r="N5" s="55"/>
      <c r="O5" s="55"/>
      <c r="P5" s="55"/>
      <c r="Q5" s="56"/>
      <c r="R5" s="56"/>
      <c r="S5" s="249">
        <f ca="1">NOW()</f>
        <v>41738.554235995369</v>
      </c>
      <c r="T5" s="47"/>
      <c r="U5" s="47"/>
    </row>
    <row r="6" spans="1:21">
      <c r="A6" s="47"/>
      <c r="B6" s="58"/>
      <c r="C6" s="58"/>
      <c r="D6" s="59"/>
      <c r="E6" s="60"/>
      <c r="F6" s="61"/>
      <c r="G6" s="61"/>
      <c r="H6" s="61"/>
      <c r="I6" s="59"/>
      <c r="J6" s="59"/>
      <c r="K6" s="29"/>
      <c r="L6" s="29"/>
      <c r="M6" s="29"/>
      <c r="N6" s="29"/>
      <c r="O6" s="29"/>
      <c r="P6" s="29"/>
      <c r="T6" s="47"/>
      <c r="U6" s="47"/>
    </row>
    <row r="7" spans="1:21">
      <c r="E7" s="26"/>
      <c r="F7" s="27"/>
      <c r="G7" s="27"/>
      <c r="H7" s="27"/>
      <c r="K7" s="29"/>
      <c r="L7" s="29"/>
      <c r="M7" s="29"/>
      <c r="N7" s="29"/>
      <c r="O7" s="29"/>
      <c r="P7" s="29"/>
    </row>
    <row r="8" spans="1:21">
      <c r="E8" s="26"/>
      <c r="F8" s="27"/>
      <c r="G8" s="27"/>
      <c r="H8" s="27"/>
      <c r="K8" s="29"/>
      <c r="L8" s="29"/>
      <c r="M8" s="29"/>
      <c r="N8" s="29"/>
      <c r="O8" s="29"/>
      <c r="P8" s="29"/>
    </row>
    <row r="9" spans="1:21">
      <c r="E9" s="26"/>
      <c r="F9" s="27"/>
      <c r="G9" s="27"/>
      <c r="H9" s="27"/>
      <c r="K9" s="29"/>
      <c r="L9" s="29"/>
      <c r="M9" s="29"/>
      <c r="N9" s="29"/>
      <c r="O9" s="29"/>
      <c r="P9" s="29"/>
    </row>
    <row r="10" spans="1:21">
      <c r="E10" s="26"/>
      <c r="F10" s="27"/>
      <c r="G10" s="27"/>
      <c r="H10" s="27"/>
      <c r="K10" s="29"/>
      <c r="L10" s="29"/>
      <c r="M10" s="29"/>
      <c r="N10" s="29"/>
      <c r="O10" s="29"/>
      <c r="P10" s="29"/>
    </row>
    <row r="33" spans="4:4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V6"/>
  <sheetViews>
    <sheetView workbookViewId="0">
      <selection activeCell="B13" sqref="B13"/>
    </sheetView>
  </sheetViews>
  <sheetFormatPr baseColWidth="10" defaultColWidth="8.83203125" defaultRowHeight="15" x14ac:dyDescent="0"/>
  <cols>
    <col min="1" max="1" width="4.6640625" bestFit="1" customWidth="1"/>
    <col min="2" max="2" width="9.5" bestFit="1" customWidth="1"/>
    <col min="3" max="3" width="4.6640625" bestFit="1" customWidth="1"/>
    <col min="4" max="4" width="4.6640625" customWidth="1"/>
    <col min="5" max="5" width="4.83203125" bestFit="1" customWidth="1"/>
    <col min="6" max="6" width="4.6640625" bestFit="1" customWidth="1"/>
    <col min="7" max="7" width="4.83203125" bestFit="1" customWidth="1"/>
    <col min="8" max="10" width="4.6640625" bestFit="1" customWidth="1"/>
    <col min="11" max="11" width="13.33203125" bestFit="1" customWidth="1"/>
    <col min="12" max="12" width="4.6640625" customWidth="1"/>
    <col min="13" max="16" width="4.6640625" bestFit="1" customWidth="1"/>
    <col min="17" max="17" width="13.1640625" customWidth="1"/>
    <col min="18" max="18" width="15" customWidth="1"/>
    <col min="19" max="19" width="16.6640625" bestFit="1" customWidth="1"/>
    <col min="20" max="20" width="9.5" bestFit="1" customWidth="1"/>
    <col min="21" max="21" width="14.33203125" bestFit="1" customWidth="1"/>
    <col min="22" max="22" width="14.5" bestFit="1" customWidth="1"/>
  </cols>
  <sheetData>
    <row r="1" spans="1:22" ht="1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>
      <c r="A2" s="5">
        <v>2</v>
      </c>
      <c r="B2" s="6" t="s">
        <v>15</v>
      </c>
      <c r="C2" s="33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32">
        <v>53</v>
      </c>
      <c r="J2" s="32">
        <v>1</v>
      </c>
      <c r="K2" s="34" t="s">
        <v>65</v>
      </c>
      <c r="L2" s="34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6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>
      <c r="A3" s="5">
        <v>1</v>
      </c>
      <c r="B3" s="6" t="s">
        <v>21</v>
      </c>
      <c r="C3" s="33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31">
        <v>31</v>
      </c>
      <c r="J3" s="31">
        <v>4</v>
      </c>
      <c r="K3" s="34" t="s">
        <v>67</v>
      </c>
      <c r="L3" s="35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6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>
      <c r="A4" s="5">
        <v>3</v>
      </c>
      <c r="B4" s="6" t="s">
        <v>19</v>
      </c>
      <c r="C4" s="33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32">
        <v>51</v>
      </c>
      <c r="J4" s="32">
        <v>2</v>
      </c>
      <c r="K4" s="34" t="s">
        <v>65</v>
      </c>
      <c r="L4" s="34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6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>
      <c r="A5" s="5">
        <v>4</v>
      </c>
      <c r="B5" s="6" t="s">
        <v>17</v>
      </c>
      <c r="C5" s="33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32">
        <v>37</v>
      </c>
      <c r="J5" s="32">
        <v>3</v>
      </c>
      <c r="K5" s="34" t="s">
        <v>66</v>
      </c>
      <c r="L5" s="34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6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>
      <c r="M6" s="354">
        <f ca="1">NOW()</f>
        <v>41738.554235995369</v>
      </c>
      <c r="N6" s="354"/>
      <c r="O6" s="354"/>
      <c r="P6" s="354"/>
      <c r="V6" s="37">
        <f ca="1">NOW()</f>
        <v>41738.554235995369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BOM Summary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Anthony Koop</cp:lastModifiedBy>
  <cp:lastPrinted>2014-04-03T20:31:51Z</cp:lastPrinted>
  <dcterms:created xsi:type="dcterms:W3CDTF">2013-08-04T21:53:47Z</dcterms:created>
  <dcterms:modified xsi:type="dcterms:W3CDTF">2014-04-09T18:26:16Z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APC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12x4.5</vt:lpwstr>
  </property>
  <property fmtid="{D5CDD505-2E9C-101B-9397-08002B2CF9AE}" pid="5" name="Price" linkTarget="Prop_Price">
    <vt:r8>4</vt:r8>
  </property>
</Properties>
</file>