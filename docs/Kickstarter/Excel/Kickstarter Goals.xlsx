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ony\Dropbox\Kickstarter TK\Excel\"/>
    </mc:Choice>
  </mc:AlternateContent>
  <bookViews>
    <workbookView xWindow="0" yWindow="0" windowWidth="14370" windowHeight="8310" activeTab="4"/>
  </bookViews>
  <sheets>
    <sheet name="Rewards" sheetId="3" r:id="rId1"/>
    <sheet name="Sheet1" sheetId="5" r:id="rId2"/>
    <sheet name="Actual Backers" sheetId="2" r:id="rId3"/>
    <sheet name="Sheet2" sheetId="6" r:id="rId4"/>
    <sheet name="Special Contacts" sheetId="7" r:id="rId5"/>
  </sheets>
  <calcPr calcId="15251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8" i="6" l="1"/>
  <c r="F58" i="6"/>
  <c r="E58" i="6"/>
  <c r="D58" i="6"/>
  <c r="C58" i="6"/>
  <c r="F75" i="6"/>
  <c r="E75" i="6"/>
  <c r="D75" i="6"/>
  <c r="C75" i="6"/>
  <c r="F74" i="6"/>
  <c r="E74" i="6"/>
  <c r="D74" i="6"/>
  <c r="C74" i="6"/>
  <c r="F60" i="6"/>
  <c r="E60" i="6"/>
  <c r="D60" i="6"/>
  <c r="C60" i="6"/>
  <c r="F59" i="6"/>
  <c r="E59" i="6"/>
  <c r="D59" i="6"/>
  <c r="C59" i="6"/>
  <c r="F3" i="6"/>
  <c r="E3" i="6"/>
  <c r="D3" i="6"/>
  <c r="C3" i="6"/>
  <c r="F35" i="6"/>
  <c r="E35" i="6"/>
  <c r="D35" i="6"/>
  <c r="C35" i="6"/>
  <c r="F44" i="6"/>
  <c r="E44" i="6"/>
  <c r="D44" i="6"/>
  <c r="C44" i="6"/>
  <c r="F38" i="6"/>
  <c r="E38" i="6"/>
  <c r="D38" i="6"/>
  <c r="C38" i="6"/>
  <c r="F71" i="6"/>
  <c r="E71" i="6"/>
  <c r="D71" i="6"/>
  <c r="C71" i="6"/>
  <c r="F85" i="6"/>
  <c r="E85" i="6"/>
  <c r="D85" i="6"/>
  <c r="C85" i="6"/>
  <c r="F34" i="6"/>
  <c r="E34" i="6"/>
  <c r="D34" i="6"/>
  <c r="C34" i="6"/>
  <c r="F19" i="6"/>
  <c r="E19" i="6"/>
  <c r="D19" i="6"/>
  <c r="C19" i="6"/>
  <c r="F18" i="6"/>
  <c r="E18" i="6"/>
  <c r="D18" i="6"/>
  <c r="C18" i="6"/>
  <c r="F45" i="6"/>
  <c r="E45" i="6"/>
  <c r="D45" i="6"/>
  <c r="C45" i="6"/>
  <c r="F87" i="6"/>
  <c r="E87" i="6"/>
  <c r="D87" i="6"/>
  <c r="C87" i="6"/>
  <c r="F33" i="6"/>
  <c r="E33" i="6"/>
  <c r="D33" i="6"/>
  <c r="C33" i="6"/>
  <c r="F43" i="6"/>
  <c r="E43" i="6"/>
  <c r="D43" i="6"/>
  <c r="C43" i="6"/>
  <c r="F42" i="6"/>
  <c r="E42" i="6"/>
  <c r="D42" i="6"/>
  <c r="C42" i="6"/>
  <c r="F41" i="6"/>
  <c r="E41" i="6"/>
  <c r="D41" i="6"/>
  <c r="C41" i="6"/>
  <c r="F21" i="6"/>
  <c r="E21" i="6"/>
  <c r="D21" i="6"/>
  <c r="C21" i="6"/>
  <c r="F32" i="6"/>
  <c r="E32" i="6"/>
  <c r="D32" i="6"/>
  <c r="C32" i="6"/>
  <c r="F13" i="6"/>
  <c r="E13" i="6"/>
  <c r="D13" i="6"/>
  <c r="C13" i="6"/>
  <c r="F14" i="6"/>
  <c r="E14" i="6"/>
  <c r="D14" i="6"/>
  <c r="C14" i="6"/>
  <c r="F73" i="6"/>
  <c r="E73" i="6"/>
  <c r="D73" i="6"/>
  <c r="C73" i="6"/>
  <c r="F83" i="6"/>
  <c r="E83" i="6"/>
  <c r="D83" i="6"/>
  <c r="C83" i="6"/>
  <c r="F31" i="6"/>
  <c r="E31" i="6"/>
  <c r="D31" i="6"/>
  <c r="C31" i="6"/>
  <c r="F22" i="6"/>
  <c r="E22" i="6"/>
  <c r="D22" i="6"/>
  <c r="C22" i="6"/>
  <c r="F12" i="6"/>
  <c r="E12" i="6"/>
  <c r="D12" i="6"/>
  <c r="C12" i="6"/>
  <c r="F23" i="6"/>
  <c r="E23" i="6"/>
  <c r="D23" i="6"/>
  <c r="C23" i="6"/>
  <c r="F11" i="6"/>
  <c r="E11" i="6"/>
  <c r="D11" i="6"/>
  <c r="C11" i="6"/>
  <c r="F30" i="6"/>
  <c r="E30" i="6"/>
  <c r="D30" i="6"/>
  <c r="C30" i="6"/>
  <c r="F20" i="6"/>
  <c r="E20" i="6"/>
  <c r="D20" i="6"/>
  <c r="C20" i="6"/>
  <c r="F17" i="6"/>
  <c r="E17" i="6"/>
  <c r="D17" i="6"/>
  <c r="C17" i="6"/>
  <c r="F24" i="6"/>
  <c r="E24" i="6"/>
  <c r="D24" i="6"/>
  <c r="C24" i="6"/>
  <c r="F40" i="6"/>
  <c r="E40" i="6"/>
  <c r="D40" i="6"/>
  <c r="C40" i="6"/>
  <c r="F39" i="6"/>
  <c r="E39" i="6"/>
  <c r="D39" i="6"/>
  <c r="C39" i="6"/>
  <c r="F16" i="6"/>
  <c r="E16" i="6"/>
  <c r="D16" i="6"/>
  <c r="C16" i="6"/>
  <c r="F10" i="6"/>
  <c r="E10" i="6"/>
  <c r="D10" i="6"/>
  <c r="C10" i="6"/>
  <c r="F25" i="6"/>
  <c r="E25" i="6"/>
  <c r="D25" i="6"/>
  <c r="C25" i="6"/>
  <c r="F92" i="6"/>
  <c r="E92" i="6"/>
  <c r="D92" i="6"/>
  <c r="C92" i="6"/>
  <c r="F2" i="6"/>
  <c r="E2" i="6"/>
  <c r="D2" i="6"/>
  <c r="C2" i="6"/>
  <c r="F78" i="6"/>
  <c r="E78" i="6"/>
  <c r="D78" i="6"/>
  <c r="C78" i="6"/>
  <c r="F86" i="6"/>
  <c r="E86" i="6"/>
  <c r="D86" i="6"/>
  <c r="C86" i="6"/>
  <c r="F69" i="6"/>
  <c r="E69" i="6"/>
  <c r="D69" i="6"/>
  <c r="C69" i="6"/>
  <c r="F91" i="6"/>
  <c r="E91" i="6"/>
  <c r="D91" i="6"/>
  <c r="C91" i="6"/>
  <c r="F90" i="6"/>
  <c r="E90" i="6"/>
  <c r="D90" i="6"/>
  <c r="C90" i="6"/>
  <c r="F15" i="6"/>
  <c r="E15" i="6"/>
  <c r="D15" i="6"/>
  <c r="C15" i="6"/>
  <c r="F89" i="6"/>
  <c r="E89" i="6"/>
  <c r="D89" i="6"/>
  <c r="C89" i="6"/>
  <c r="F84" i="6"/>
  <c r="E84" i="6"/>
  <c r="D84" i="6"/>
  <c r="C84" i="6"/>
  <c r="F65" i="6"/>
  <c r="E65" i="6"/>
  <c r="D65" i="6"/>
  <c r="C65" i="6"/>
  <c r="F82" i="6"/>
  <c r="E82" i="6"/>
  <c r="D82" i="6"/>
  <c r="C82" i="6"/>
  <c r="F27" i="6"/>
  <c r="E27" i="6"/>
  <c r="D27" i="6"/>
  <c r="C27" i="6"/>
  <c r="F88" i="6"/>
  <c r="E88" i="6"/>
  <c r="D88" i="6"/>
  <c r="C88" i="6"/>
  <c r="F29" i="6"/>
  <c r="E29" i="6"/>
  <c r="D29" i="6"/>
  <c r="C29" i="6"/>
  <c r="F8" i="6"/>
  <c r="E8" i="6"/>
  <c r="D8" i="6"/>
  <c r="C8" i="6"/>
  <c r="F28" i="6"/>
  <c r="E28" i="6"/>
  <c r="D28" i="6"/>
  <c r="C28" i="6"/>
  <c r="F7" i="6"/>
  <c r="E7" i="6"/>
  <c r="D7" i="6"/>
  <c r="C7" i="6"/>
  <c r="F9" i="6"/>
  <c r="E9" i="6"/>
  <c r="D9" i="6"/>
  <c r="C9" i="6"/>
  <c r="F6" i="6"/>
  <c r="E6" i="6"/>
  <c r="D6" i="6"/>
  <c r="C6" i="6"/>
  <c r="F61" i="6"/>
  <c r="E61" i="6"/>
  <c r="D61" i="6"/>
  <c r="C61" i="6"/>
  <c r="F80" i="6"/>
  <c r="E80" i="6"/>
  <c r="D80" i="6"/>
  <c r="C80" i="6"/>
  <c r="F81" i="6"/>
  <c r="E81" i="6"/>
  <c r="D81" i="6"/>
  <c r="C81" i="6"/>
  <c r="F72" i="6"/>
  <c r="E72" i="6"/>
  <c r="D72" i="6"/>
  <c r="C72" i="6"/>
  <c r="F66" i="6"/>
  <c r="E66" i="6"/>
  <c r="D66" i="6"/>
  <c r="C66" i="6"/>
  <c r="F79" i="6"/>
  <c r="E79" i="6"/>
  <c r="D79" i="6"/>
  <c r="C79" i="6"/>
  <c r="F5" i="6"/>
  <c r="E5" i="6"/>
  <c r="D5" i="6"/>
  <c r="C5" i="6"/>
  <c r="F67" i="6"/>
  <c r="E67" i="6"/>
  <c r="D67" i="6"/>
  <c r="C67" i="6"/>
  <c r="F63" i="6"/>
  <c r="E63" i="6"/>
  <c r="D63" i="6"/>
  <c r="C63" i="6"/>
  <c r="F26" i="6"/>
  <c r="E26" i="6"/>
  <c r="D26" i="6"/>
  <c r="C26" i="6"/>
  <c r="F70" i="6"/>
  <c r="E70" i="6"/>
  <c r="D70" i="6"/>
  <c r="C70" i="6"/>
  <c r="F76" i="6"/>
  <c r="E76" i="6"/>
  <c r="D76" i="6"/>
  <c r="C76" i="6"/>
  <c r="F77" i="6"/>
  <c r="E77" i="6"/>
  <c r="D77" i="6"/>
  <c r="C77" i="6"/>
  <c r="F68" i="6"/>
  <c r="E68" i="6"/>
  <c r="D68" i="6"/>
  <c r="C68" i="6"/>
  <c r="F62" i="6"/>
  <c r="E62" i="6"/>
  <c r="D62" i="6"/>
  <c r="C62" i="6"/>
  <c r="F4" i="6"/>
  <c r="E4" i="6"/>
  <c r="D4" i="6"/>
  <c r="C4" i="6"/>
  <c r="F95" i="6"/>
  <c r="E95" i="6"/>
  <c r="D95" i="6"/>
  <c r="C95" i="6"/>
  <c r="F94" i="6"/>
  <c r="E94" i="6"/>
  <c r="D94" i="6"/>
  <c r="C94" i="6"/>
  <c r="F96" i="6"/>
  <c r="E96" i="6"/>
  <c r="D96" i="6"/>
  <c r="C96" i="6"/>
  <c r="F93" i="6"/>
  <c r="E93" i="6"/>
  <c r="D93" i="6"/>
  <c r="C93" i="6"/>
  <c r="F54" i="6"/>
  <c r="E54" i="6"/>
  <c r="D54" i="6"/>
  <c r="C54" i="6"/>
  <c r="F64" i="6"/>
  <c r="E64" i="6"/>
  <c r="D64" i="6"/>
  <c r="C64" i="6"/>
  <c r="F53" i="6"/>
  <c r="E53" i="6"/>
  <c r="D53" i="6"/>
  <c r="C53" i="6"/>
  <c r="F57" i="6"/>
  <c r="E57" i="6"/>
  <c r="D57" i="6"/>
  <c r="C57" i="6"/>
  <c r="F52" i="6"/>
  <c r="E52" i="6"/>
  <c r="D52" i="6"/>
  <c r="C52" i="6"/>
  <c r="F37" i="6"/>
  <c r="E37" i="6"/>
  <c r="D37" i="6"/>
  <c r="C37" i="6"/>
  <c r="F36" i="6"/>
  <c r="E36" i="6"/>
  <c r="D36" i="6"/>
  <c r="C36" i="6"/>
  <c r="F51" i="6"/>
  <c r="E51" i="6"/>
  <c r="D51" i="6"/>
  <c r="C51" i="6"/>
  <c r="F55" i="6"/>
  <c r="E55" i="6"/>
  <c r="D55" i="6"/>
  <c r="C55" i="6"/>
  <c r="F50" i="6"/>
  <c r="E50" i="6"/>
  <c r="D50" i="6"/>
  <c r="C50" i="6"/>
  <c r="F49" i="6"/>
  <c r="E49" i="6"/>
  <c r="D49" i="6"/>
  <c r="C49" i="6"/>
  <c r="F48" i="6"/>
  <c r="E48" i="6"/>
  <c r="D48" i="6"/>
  <c r="C48" i="6"/>
  <c r="F47" i="6"/>
  <c r="E47" i="6"/>
  <c r="D47" i="6"/>
  <c r="C47" i="6"/>
  <c r="F46" i="6"/>
  <c r="E46" i="6"/>
  <c r="D46" i="6"/>
  <c r="C46" i="6"/>
  <c r="F56" i="6"/>
  <c r="E56" i="6"/>
  <c r="D56" i="6"/>
  <c r="C56" i="6"/>
  <c r="G108" i="2"/>
  <c r="E12" i="2"/>
  <c r="C12" i="2"/>
  <c r="F12" i="2"/>
  <c r="D12" i="2"/>
  <c r="F11" i="2"/>
  <c r="E11" i="2"/>
  <c r="D11" i="2"/>
  <c r="C11" i="2"/>
  <c r="F3" i="2"/>
  <c r="E3" i="2"/>
  <c r="D3" i="2"/>
  <c r="C3" i="2"/>
  <c r="E19" i="2"/>
  <c r="C19" i="2"/>
  <c r="F19" i="2"/>
  <c r="D19" i="2"/>
  <c r="F14" i="2"/>
  <c r="E14" i="2"/>
  <c r="D14" i="2"/>
  <c r="C14" i="2"/>
  <c r="K5" i="5"/>
  <c r="J13" i="5"/>
  <c r="F61" i="2"/>
  <c r="E61" i="2"/>
  <c r="D61" i="2"/>
  <c r="C61" i="2"/>
  <c r="F79" i="2"/>
  <c r="E79" i="2"/>
  <c r="D79" i="2"/>
  <c r="C79" i="2"/>
  <c r="F55" i="2"/>
  <c r="E55" i="2"/>
  <c r="D55" i="2"/>
  <c r="C55" i="2"/>
  <c r="F42" i="2"/>
  <c r="E42" i="2"/>
  <c r="D42" i="2"/>
  <c r="C42" i="2"/>
  <c r="E35" i="2"/>
  <c r="C35" i="2"/>
  <c r="F35" i="2"/>
  <c r="D35" i="2"/>
  <c r="E77" i="2"/>
  <c r="C77" i="2"/>
  <c r="F77" i="2"/>
  <c r="D77" i="2"/>
  <c r="E44" i="2"/>
  <c r="C44" i="2"/>
  <c r="F44" i="2"/>
  <c r="D44" i="2"/>
  <c r="E97" i="2"/>
  <c r="C97" i="2"/>
  <c r="F97" i="2"/>
  <c r="D97" i="2"/>
  <c r="E37" i="2"/>
  <c r="C37" i="2"/>
  <c r="F37" i="2"/>
  <c r="D37" i="2"/>
  <c r="E9" i="2"/>
  <c r="C9" i="2"/>
  <c r="F9" i="2"/>
  <c r="D9" i="2"/>
  <c r="E68" i="2"/>
  <c r="C68" i="2"/>
  <c r="F68" i="2"/>
  <c r="D68" i="2"/>
  <c r="E66" i="2"/>
  <c r="C66" i="2"/>
  <c r="F66" i="2"/>
  <c r="D66" i="2"/>
  <c r="E7" i="2"/>
  <c r="C7" i="2"/>
  <c r="F7" i="2"/>
  <c r="D7" i="2"/>
  <c r="E6" i="2"/>
  <c r="C6" i="2"/>
  <c r="F6" i="2"/>
  <c r="D6" i="2"/>
  <c r="E38" i="2"/>
  <c r="C38" i="2"/>
  <c r="F38" i="2"/>
  <c r="D38" i="2"/>
  <c r="E90" i="2"/>
  <c r="C90" i="2"/>
  <c r="F90" i="2"/>
  <c r="D90" i="2"/>
  <c r="E53" i="2"/>
  <c r="C53" i="2"/>
  <c r="F53" i="2"/>
  <c r="D53" i="2"/>
  <c r="E69" i="2"/>
  <c r="C69" i="2"/>
  <c r="F69" i="2"/>
  <c r="D69" i="2"/>
  <c r="E34" i="2"/>
  <c r="C34" i="2"/>
  <c r="F34" i="2"/>
  <c r="D34" i="2"/>
  <c r="E73" i="2"/>
  <c r="C73" i="2"/>
  <c r="F73" i="2"/>
  <c r="D73" i="2"/>
  <c r="E95" i="2"/>
  <c r="C95" i="2"/>
  <c r="F95" i="2"/>
  <c r="D95" i="2"/>
  <c r="E4" i="2"/>
  <c r="C4" i="2"/>
  <c r="F4" i="2"/>
  <c r="D4" i="2"/>
  <c r="E58" i="2"/>
  <c r="C58" i="2"/>
  <c r="F58" i="2"/>
  <c r="D58" i="2"/>
  <c r="E5" i="2"/>
  <c r="C5" i="2"/>
  <c r="F5" i="2"/>
  <c r="D5" i="2"/>
  <c r="E56" i="2"/>
  <c r="C56" i="2"/>
  <c r="F56" i="2"/>
  <c r="D56" i="2"/>
  <c r="E65" i="2"/>
  <c r="C65" i="2"/>
  <c r="F65" i="2"/>
  <c r="D65" i="2"/>
  <c r="I3" i="5"/>
  <c r="K3" i="5"/>
  <c r="I4" i="5"/>
  <c r="K4" i="5"/>
  <c r="I6" i="5"/>
  <c r="K6" i="5"/>
  <c r="E7" i="5"/>
  <c r="I7" i="5"/>
  <c r="K7" i="5"/>
  <c r="E8" i="5"/>
  <c r="I8" i="5"/>
  <c r="K8" i="5"/>
  <c r="I9" i="5"/>
  <c r="K9" i="5"/>
  <c r="I10" i="5"/>
  <c r="K10" i="5"/>
  <c r="I11" i="5"/>
  <c r="K11" i="5"/>
  <c r="I12" i="5"/>
  <c r="K12" i="5"/>
  <c r="K13" i="5"/>
  <c r="K14" i="5"/>
  <c r="K15" i="5"/>
  <c r="G3" i="5"/>
  <c r="G4" i="5"/>
  <c r="G5" i="5"/>
  <c r="G6" i="5"/>
  <c r="G7" i="5"/>
  <c r="G8" i="5"/>
  <c r="G9" i="5"/>
  <c r="G10" i="5"/>
  <c r="G11" i="5"/>
  <c r="G12" i="5"/>
  <c r="G13" i="5"/>
  <c r="K16" i="5"/>
  <c r="H10" i="5"/>
  <c r="H11" i="5"/>
  <c r="H8" i="5"/>
  <c r="H7" i="5"/>
  <c r="H3" i="5"/>
  <c r="H4" i="5"/>
  <c r="H6" i="5"/>
  <c r="H9" i="5"/>
  <c r="H12" i="5"/>
  <c r="H13" i="5"/>
  <c r="E51" i="2"/>
  <c r="C51" i="2"/>
  <c r="F51" i="2"/>
  <c r="D51" i="2"/>
  <c r="E15" i="2"/>
  <c r="C15" i="2"/>
  <c r="F15" i="2"/>
  <c r="D15" i="2"/>
  <c r="E54" i="2"/>
  <c r="C54" i="2"/>
  <c r="F54" i="2"/>
  <c r="D54" i="2"/>
  <c r="E107" i="2"/>
  <c r="C107" i="2"/>
  <c r="F107" i="2"/>
  <c r="D107" i="2"/>
  <c r="E57" i="2"/>
  <c r="C57" i="2"/>
  <c r="F57" i="2"/>
  <c r="D57" i="2"/>
  <c r="E28" i="2"/>
  <c r="C28" i="2"/>
  <c r="F28" i="2"/>
  <c r="D28" i="2"/>
  <c r="E101" i="2"/>
  <c r="C101" i="2"/>
  <c r="F101" i="2"/>
  <c r="D101" i="2"/>
  <c r="E76" i="2"/>
  <c r="C76" i="2"/>
  <c r="F76" i="2"/>
  <c r="D76" i="2"/>
  <c r="E91" i="2"/>
  <c r="C91" i="2"/>
  <c r="F91" i="2"/>
  <c r="D91" i="2"/>
  <c r="E27" i="2"/>
  <c r="C27" i="2"/>
  <c r="F27" i="2"/>
  <c r="D27" i="2"/>
  <c r="E49" i="2"/>
  <c r="C49" i="2"/>
  <c r="F49" i="2"/>
  <c r="D49" i="2"/>
  <c r="E10" i="2"/>
  <c r="C10" i="2"/>
  <c r="F10" i="2"/>
  <c r="D10" i="2"/>
  <c r="E32" i="2"/>
  <c r="C32" i="2"/>
  <c r="F32" i="2"/>
  <c r="D32" i="2"/>
  <c r="E25" i="2"/>
  <c r="C25" i="2"/>
  <c r="F25" i="2"/>
  <c r="D25" i="2"/>
  <c r="E60" i="2"/>
  <c r="C60" i="2"/>
  <c r="F60" i="2"/>
  <c r="D60" i="2"/>
  <c r="E84" i="2"/>
  <c r="C84" i="2"/>
  <c r="F84" i="2"/>
  <c r="D84" i="2"/>
  <c r="E89" i="2"/>
  <c r="C89" i="2"/>
  <c r="F89" i="2"/>
  <c r="D89" i="2"/>
  <c r="E62" i="2"/>
  <c r="C62" i="2"/>
  <c r="F62" i="2"/>
  <c r="D62" i="2"/>
  <c r="E41" i="2"/>
  <c r="C41" i="2"/>
  <c r="F41" i="2"/>
  <c r="D41" i="2"/>
  <c r="E22" i="2"/>
  <c r="C22" i="2"/>
  <c r="F22" i="2"/>
  <c r="D22" i="2"/>
  <c r="E96" i="2"/>
  <c r="C96" i="2"/>
  <c r="F96" i="2"/>
  <c r="D96" i="2"/>
  <c r="E8" i="2"/>
  <c r="C8" i="2"/>
  <c r="F8" i="2"/>
  <c r="D8" i="2"/>
  <c r="E13" i="2"/>
  <c r="C13" i="2"/>
  <c r="F13" i="2"/>
  <c r="D13" i="2"/>
  <c r="E83" i="2"/>
  <c r="C83" i="2"/>
  <c r="F83" i="2"/>
  <c r="D83" i="2"/>
  <c r="E36" i="2"/>
  <c r="C36" i="2"/>
  <c r="F36" i="2"/>
  <c r="D36" i="2"/>
  <c r="E87" i="2"/>
  <c r="C87" i="2"/>
  <c r="F87" i="2"/>
  <c r="D87" i="2"/>
  <c r="E98" i="2"/>
  <c r="C98" i="2"/>
  <c r="F98" i="2"/>
  <c r="D98" i="2"/>
  <c r="E105" i="2"/>
  <c r="C105" i="2"/>
  <c r="F105" i="2"/>
  <c r="D105" i="2"/>
  <c r="E67" i="2"/>
  <c r="C67" i="2"/>
  <c r="F67" i="2"/>
  <c r="D67" i="2"/>
  <c r="E74" i="2"/>
  <c r="C74" i="2"/>
  <c r="F74" i="2"/>
  <c r="D74" i="2"/>
  <c r="E31" i="2"/>
  <c r="C31" i="2"/>
  <c r="F31" i="2"/>
  <c r="D31" i="2"/>
  <c r="E92" i="2"/>
  <c r="C92" i="2"/>
  <c r="F92" i="2"/>
  <c r="D92" i="2"/>
  <c r="E39" i="2"/>
  <c r="C39" i="2"/>
  <c r="F39" i="2"/>
  <c r="D39" i="2"/>
  <c r="E70" i="2"/>
  <c r="C70" i="2"/>
  <c r="F70" i="2"/>
  <c r="E29" i="2"/>
  <c r="C29" i="2"/>
  <c r="F29" i="2"/>
  <c r="E63" i="2"/>
  <c r="F63" i="2"/>
  <c r="D63" i="2"/>
  <c r="E104" i="2"/>
  <c r="C104" i="2"/>
  <c r="F104" i="2"/>
  <c r="E21" i="2"/>
  <c r="C21" i="2"/>
  <c r="F21" i="2"/>
  <c r="E80" i="2"/>
  <c r="C80" i="2"/>
  <c r="F80" i="2"/>
  <c r="E17" i="2"/>
  <c r="C17" i="2"/>
  <c r="F17" i="2"/>
  <c r="C63" i="2"/>
  <c r="D70" i="2"/>
  <c r="D21" i="2"/>
  <c r="D104" i="2"/>
  <c r="D29" i="2"/>
  <c r="D80" i="2"/>
  <c r="D17" i="2"/>
  <c r="E52" i="2"/>
  <c r="F52" i="2"/>
  <c r="E88" i="2"/>
  <c r="F88" i="2"/>
  <c r="G8" i="3"/>
  <c r="I8" i="3"/>
  <c r="K8" i="3"/>
  <c r="F5" i="3"/>
  <c r="F9" i="3"/>
  <c r="H9" i="3"/>
  <c r="H4" i="3"/>
  <c r="H6" i="3"/>
  <c r="H2" i="3"/>
  <c r="I2" i="3"/>
  <c r="K2" i="3"/>
  <c r="I4" i="3"/>
  <c r="K4" i="3"/>
  <c r="I6" i="3"/>
  <c r="K6" i="3"/>
  <c r="J11" i="3"/>
  <c r="F7" i="3"/>
  <c r="I7" i="3"/>
  <c r="F3" i="3"/>
  <c r="I3" i="3"/>
  <c r="K3" i="3"/>
  <c r="F81" i="2"/>
  <c r="E81" i="2"/>
  <c r="C81" i="2"/>
  <c r="F46" i="2"/>
  <c r="E46" i="2"/>
  <c r="F24" i="2"/>
  <c r="E24" i="2"/>
  <c r="F71" i="2"/>
  <c r="E71" i="2"/>
  <c r="C71" i="2"/>
  <c r="F20" i="2"/>
  <c r="E20" i="2"/>
  <c r="C20" i="2"/>
  <c r="F82" i="2"/>
  <c r="E82" i="2"/>
  <c r="D82" i="2"/>
  <c r="F72" i="2"/>
  <c r="E72" i="2"/>
  <c r="C72" i="2"/>
  <c r="F43" i="2"/>
  <c r="E43" i="2"/>
  <c r="C43" i="2"/>
  <c r="F45" i="2"/>
  <c r="E45" i="2"/>
  <c r="C45" i="2"/>
  <c r="F103" i="2"/>
  <c r="E103" i="2"/>
  <c r="C103" i="2"/>
  <c r="F102" i="2"/>
  <c r="E102" i="2"/>
  <c r="C102" i="2"/>
  <c r="F99" i="2"/>
  <c r="E99" i="2"/>
  <c r="C99" i="2"/>
  <c r="F48" i="2"/>
  <c r="E48" i="2"/>
  <c r="C48" i="2"/>
  <c r="F64" i="2"/>
  <c r="E64" i="2"/>
  <c r="F33" i="2"/>
  <c r="E33" i="2"/>
  <c r="F16" i="2"/>
  <c r="E16" i="2"/>
  <c r="C16" i="2"/>
  <c r="F93" i="2"/>
  <c r="E93" i="2"/>
  <c r="F47" i="2"/>
  <c r="E47" i="2"/>
  <c r="C47" i="2"/>
  <c r="F26" i="2"/>
  <c r="E26" i="2"/>
  <c r="C26" i="2"/>
  <c r="F78" i="2"/>
  <c r="E78" i="2"/>
  <c r="F30" i="2"/>
  <c r="E30" i="2"/>
  <c r="C30" i="2"/>
  <c r="F86" i="2"/>
  <c r="E86" i="2"/>
  <c r="C86" i="2"/>
  <c r="C24" i="2"/>
  <c r="C93" i="2"/>
  <c r="C64" i="2"/>
  <c r="C78" i="2"/>
  <c r="H5" i="3"/>
  <c r="H7" i="3"/>
  <c r="H3" i="3"/>
  <c r="I9" i="3"/>
  <c r="K9" i="3"/>
  <c r="I5" i="3"/>
  <c r="K5" i="3"/>
  <c r="K7" i="3"/>
  <c r="F10" i="3"/>
  <c r="I10" i="3"/>
  <c r="K10" i="3"/>
  <c r="H10" i="3"/>
  <c r="D86" i="2"/>
  <c r="D93" i="2"/>
  <c r="D64" i="2"/>
  <c r="D88" i="2"/>
  <c r="D16" i="2"/>
  <c r="D48" i="2"/>
  <c r="D103" i="2"/>
  <c r="D46" i="2"/>
  <c r="D52" i="2"/>
  <c r="C46" i="2"/>
  <c r="D78" i="2"/>
  <c r="D72" i="2"/>
  <c r="D71" i="2"/>
  <c r="D33" i="2"/>
  <c r="D43" i="2"/>
  <c r="D20" i="2"/>
  <c r="D24" i="2"/>
  <c r="C33" i="2"/>
  <c r="D26" i="2"/>
  <c r="D99" i="2"/>
  <c r="D81" i="2"/>
  <c r="D30" i="2"/>
  <c r="D47" i="2"/>
  <c r="D102" i="2"/>
  <c r="D45" i="2"/>
  <c r="K11" i="3"/>
  <c r="K12" i="3"/>
  <c r="H8" i="3"/>
  <c r="H11" i="3"/>
  <c r="C82" i="2"/>
  <c r="C88" i="2"/>
  <c r="C52" i="2"/>
</calcChain>
</file>

<file path=xl/sharedStrings.xml><?xml version="1.0" encoding="utf-8"?>
<sst xmlns="http://schemas.openxmlformats.org/spreadsheetml/2006/main" count="1091" uniqueCount="291">
  <si>
    <t># of Backers</t>
  </si>
  <si>
    <t>Totals</t>
  </si>
  <si>
    <t>Print Cost</t>
  </si>
  <si>
    <t>Potential Backers</t>
  </si>
  <si>
    <t>Bryan Koop</t>
  </si>
  <si>
    <t>Nick Larson</t>
  </si>
  <si>
    <t>Andy Chow</t>
  </si>
  <si>
    <t>Dave Burnham</t>
  </si>
  <si>
    <t>Lori Norberg</t>
  </si>
  <si>
    <t>Gwenne Gustafson</t>
  </si>
  <si>
    <t>Gayle Koop</t>
  </si>
  <si>
    <t>Kirstie Kimball</t>
  </si>
  <si>
    <t>Alex Hambrock</t>
  </si>
  <si>
    <t>John Scully</t>
  </si>
  <si>
    <t>Fredrick Haugen</t>
  </si>
  <si>
    <t>Blaine Gibis</t>
  </si>
  <si>
    <t>Reid Marble</t>
  </si>
  <si>
    <t>Adam Harmon</t>
  </si>
  <si>
    <t>Will Mitchell</t>
  </si>
  <si>
    <t>Tyler Kilbury</t>
  </si>
  <si>
    <t>Mike Nieland</t>
  </si>
  <si>
    <t>Jeff Parenteau</t>
  </si>
  <si>
    <t>Sophia Ceulemans</t>
  </si>
  <si>
    <t>Aaron Windels</t>
  </si>
  <si>
    <t>Debbie Koop</t>
  </si>
  <si>
    <t>Earl Netwal</t>
  </si>
  <si>
    <t>Lucia Yess</t>
  </si>
  <si>
    <t>Mat Kvidera</t>
  </si>
  <si>
    <t>Patrick Fuentes</t>
  </si>
  <si>
    <t>First Name</t>
  </si>
  <si>
    <t>Last Name</t>
  </si>
  <si>
    <t>Space</t>
  </si>
  <si>
    <t>Length</t>
  </si>
  <si>
    <t>Reward</t>
  </si>
  <si>
    <t>Quantity</t>
  </si>
  <si>
    <t>Backer Price</t>
  </si>
  <si>
    <t>Video Shoot + Reward #8</t>
  </si>
  <si>
    <t>Photo Shoot + Reward #5</t>
  </si>
  <si>
    <t>8x10 (1)</t>
  </si>
  <si>
    <t>8x10 (3)</t>
  </si>
  <si>
    <t>11x14 (1)</t>
  </si>
  <si>
    <t>11x14 (3)</t>
  </si>
  <si>
    <t>12x18 (1)</t>
  </si>
  <si>
    <t>12x18 (3)</t>
  </si>
  <si>
    <t>12x18 Canvas (1)</t>
  </si>
  <si>
    <t>Limit</t>
  </si>
  <si>
    <t>Unlimited</t>
  </si>
  <si>
    <t>Shipping</t>
  </si>
  <si>
    <t xml:space="preserve"> </t>
  </si>
  <si>
    <t>Profit Pre-Cut</t>
  </si>
  <si>
    <t>Cumulative Cost</t>
  </si>
  <si>
    <t>Amount</t>
  </si>
  <si>
    <t>Clark Kimball</t>
  </si>
  <si>
    <t>Garrett Haugstad</t>
  </si>
  <si>
    <t>Dennis Palma</t>
  </si>
  <si>
    <t>emailed</t>
  </si>
  <si>
    <t>text</t>
  </si>
  <si>
    <t>email</t>
  </si>
  <si>
    <t>fb message</t>
  </si>
  <si>
    <t>William Earley</t>
  </si>
  <si>
    <t>Keri Anderson</t>
  </si>
  <si>
    <t>Isaac Ginsberg</t>
  </si>
  <si>
    <t>Allise Wuorio</t>
  </si>
  <si>
    <t>work</t>
  </si>
  <si>
    <t>family</t>
  </si>
  <si>
    <t>friend</t>
  </si>
  <si>
    <t>Jon Koop</t>
  </si>
  <si>
    <t>John Nieland</t>
  </si>
  <si>
    <t>Chad Perlarski</t>
  </si>
  <si>
    <t>kickstarter message</t>
  </si>
  <si>
    <t>Tony Holte</t>
  </si>
  <si>
    <t>Peter Fox</t>
  </si>
  <si>
    <t>Phil Ensminger</t>
  </si>
  <si>
    <t>Wendy Batz</t>
  </si>
  <si>
    <t>Kathleen Maurer</t>
  </si>
  <si>
    <t>Joseph Merighi</t>
  </si>
  <si>
    <t>Steve Piper-Maurer</t>
  </si>
  <si>
    <t>Judy Meath</t>
  </si>
  <si>
    <t>Devin Davies</t>
  </si>
  <si>
    <t>Sara Russett</t>
  </si>
  <si>
    <t>facebook</t>
  </si>
  <si>
    <t>Modo</t>
  </si>
  <si>
    <t>Kate</t>
  </si>
  <si>
    <t>Melani Weber</t>
  </si>
  <si>
    <t>Rob Davis</t>
  </si>
  <si>
    <t>Graeme Thickins</t>
  </si>
  <si>
    <t>Dale Jensen</t>
  </si>
  <si>
    <t>Jonathan Anders</t>
  </si>
  <si>
    <t>Adam Wold</t>
  </si>
  <si>
    <t>Anna Marco-Cortiel</t>
  </si>
  <si>
    <t>Jessica Buchberger</t>
  </si>
  <si>
    <t>Randy Miranda</t>
  </si>
  <si>
    <t>Adam Fremeth</t>
  </si>
  <si>
    <t>Austin Kringle</t>
  </si>
  <si>
    <t>Rebecca Howard</t>
  </si>
  <si>
    <t>Kodee Cahill</t>
  </si>
  <si>
    <t>Kevin Hurbanis</t>
  </si>
  <si>
    <t>DanielandMeagan Wanschura</t>
  </si>
  <si>
    <t>Alison Doering</t>
  </si>
  <si>
    <t>Andrew Morison</t>
  </si>
  <si>
    <t>Eric Darling</t>
  </si>
  <si>
    <t>Paul Morley</t>
  </si>
  <si>
    <t>Danella Myers</t>
  </si>
  <si>
    <t>John Gann</t>
  </si>
  <si>
    <t>Thomas Donahue</t>
  </si>
  <si>
    <t>David Salas</t>
  </si>
  <si>
    <t>fb via Patrick F.</t>
  </si>
  <si>
    <t>LHL #277 via Andrew A.</t>
  </si>
  <si>
    <t>referral via Mike</t>
  </si>
  <si>
    <t>a</t>
  </si>
  <si>
    <t>8x10</t>
  </si>
  <si>
    <t>12x18</t>
  </si>
  <si>
    <t>11x14</t>
  </si>
  <si>
    <t>Instructions</t>
  </si>
  <si>
    <t>Early Bird - Video Shoot</t>
  </si>
  <si>
    <t>Early Bird - Photo Shoot</t>
  </si>
  <si>
    <t>Normal - Photo Shoot</t>
  </si>
  <si>
    <t>Adjust:</t>
  </si>
  <si>
    <t>Total (pre)</t>
  </si>
  <si>
    <t>Total (post)</t>
  </si>
  <si>
    <t>Brad Ashton</t>
  </si>
  <si>
    <t>Marc Taylor</t>
  </si>
  <si>
    <t>Mike Schumaker</t>
  </si>
  <si>
    <t>Alina ?</t>
  </si>
  <si>
    <t>Timothy Brandis</t>
  </si>
  <si>
    <t>Adrian Moga</t>
  </si>
  <si>
    <t>Aviv Baron</t>
  </si>
  <si>
    <t>Koops MAC</t>
  </si>
  <si>
    <t>Phil Essington</t>
  </si>
  <si>
    <t>Rick Rydeen</t>
  </si>
  <si>
    <t>Kyle Pitts</t>
  </si>
  <si>
    <t>Holden Chang</t>
  </si>
  <si>
    <t>Karin Broecker</t>
  </si>
  <si>
    <t>Sheldon Sonido</t>
  </si>
  <si>
    <t>Bill Garcia-Solis</t>
  </si>
  <si>
    <t>Christopher Denise</t>
  </si>
  <si>
    <t>Joe Merighi</t>
  </si>
  <si>
    <t>Kimberly Myers</t>
  </si>
  <si>
    <t>Justin Jones</t>
  </si>
  <si>
    <t>Scott Weinberg</t>
  </si>
  <si>
    <t>Joel Wuorio</t>
  </si>
  <si>
    <t>Collin Forsyth</t>
  </si>
  <si>
    <t>John McGowan</t>
  </si>
  <si>
    <t>Dom Poulin</t>
  </si>
  <si>
    <t>Robert Hagmaier</t>
  </si>
  <si>
    <t>Contact</t>
  </si>
  <si>
    <t>Bonus 8x10</t>
  </si>
  <si>
    <t>1st</t>
  </si>
  <si>
    <t>2nd</t>
  </si>
  <si>
    <t>3rd</t>
  </si>
  <si>
    <t>N/A</t>
  </si>
  <si>
    <t>8x10 + Bonus</t>
  </si>
  <si>
    <t>11x14 + Bonus</t>
  </si>
  <si>
    <t>Instruction Manual + Bonus</t>
  </si>
  <si>
    <t>Not Yet Paid</t>
  </si>
  <si>
    <t>12x18 + Bonus</t>
  </si>
  <si>
    <t>facebook - Not Yet Paid</t>
  </si>
  <si>
    <t>Melanie Anderson</t>
  </si>
  <si>
    <t>3: 8x10 + Bonus</t>
  </si>
  <si>
    <t>3: 11x14 + Bonus</t>
  </si>
  <si>
    <t>12x18 Canvas Wrap + Bonus</t>
  </si>
  <si>
    <t>Aerial Photos Shoot</t>
  </si>
  <si>
    <t>Aerial Video Shoot</t>
  </si>
  <si>
    <t>Pledge $20 or more</t>
  </si>
  <si>
    <t>Pledge $5 or more</t>
  </si>
  <si>
    <t>Personal Thank You</t>
  </si>
  <si>
    <t>Pledge $30 or more</t>
  </si>
  <si>
    <t>Pledge $35 or more</t>
  </si>
  <si>
    <t>Pledge $40 or more</t>
  </si>
  <si>
    <t>Pledge $45 or more</t>
  </si>
  <si>
    <t>Pledge $70 or more</t>
  </si>
  <si>
    <t>Pledge $125 or more</t>
  </si>
  <si>
    <t>Pledge $250 or more</t>
  </si>
  <si>
    <t>Pledge $325 or more</t>
  </si>
  <si>
    <t>Pledge $350 or more</t>
  </si>
  <si>
    <t>Reward Sent</t>
  </si>
  <si>
    <t>Y</t>
  </si>
  <si>
    <t>No Reward</t>
  </si>
  <si>
    <t>!!!</t>
  </si>
  <si>
    <t>referral</t>
  </si>
  <si>
    <t>ccc</t>
  </si>
  <si>
    <t>FB Message</t>
  </si>
  <si>
    <t>Hand deliverable?</t>
  </si>
  <si>
    <t>YES</t>
  </si>
  <si>
    <t>MAYBE</t>
  </si>
  <si>
    <t>?</t>
  </si>
  <si>
    <t>Bracketron</t>
  </si>
  <si>
    <t>Local Friend</t>
  </si>
  <si>
    <t>MODO YOGA</t>
  </si>
  <si>
    <t>NO</t>
  </si>
  <si>
    <t>no prints</t>
  </si>
  <si>
    <t>NOTE:</t>
  </si>
  <si>
    <t>wants 12x18 of Grain belt</t>
  </si>
  <si>
    <t>Send him a print</t>
  </si>
  <si>
    <t>Ask if he wants prints</t>
  </si>
  <si>
    <t>QC Group</t>
  </si>
  <si>
    <t>SHIP TO DULUTH</t>
  </si>
  <si>
    <t>SHIP TO DELANO MN</t>
  </si>
  <si>
    <t>SHIP TO NYC</t>
  </si>
  <si>
    <t>SHIP TO SAINT PAUL</t>
  </si>
  <si>
    <t>Lives in Minneapolis</t>
  </si>
  <si>
    <t>Mike Kroulik</t>
  </si>
  <si>
    <t>MODO YOGA?</t>
  </si>
  <si>
    <t>Lives in Plymouth</t>
  </si>
  <si>
    <t>Garrett's Friend</t>
  </si>
  <si>
    <t>Lives in Richfield</t>
  </si>
  <si>
    <t>Lives in St. Louis Park</t>
  </si>
  <si>
    <t>Lives in St. Paul</t>
  </si>
  <si>
    <t>Lives in Brooklyn Center</t>
  </si>
  <si>
    <t>Anthony Velte</t>
  </si>
  <si>
    <t>Lives in Woodbury</t>
  </si>
  <si>
    <t>SHIP TO Willington CT</t>
  </si>
  <si>
    <t>Ship to Louisville KY</t>
  </si>
  <si>
    <t>SHIP TO Chesterton IN - not paid</t>
  </si>
  <si>
    <t>Ship to Wigan Al</t>
  </si>
  <si>
    <t>Ship to Waldorf MD</t>
  </si>
  <si>
    <t>Ship to Sugar Land TX</t>
  </si>
  <si>
    <t>Ship to Amarillo TX</t>
  </si>
  <si>
    <t>Ship to Portland OR</t>
  </si>
  <si>
    <t>Ship to Fargo ND</t>
  </si>
  <si>
    <t>LHL #277</t>
  </si>
  <si>
    <t>SHIP TO ?</t>
  </si>
  <si>
    <t>Ship to Shakopee</t>
  </si>
  <si>
    <t>Ship to Monterey CA</t>
  </si>
  <si>
    <t>Ship to Hopkins</t>
  </si>
  <si>
    <t>Ship to Minneapolis</t>
  </si>
  <si>
    <t>Ship to Bad Axe MI</t>
  </si>
  <si>
    <t>Ship to Maplewood</t>
  </si>
  <si>
    <t>Ship to Anaheim CA</t>
  </si>
  <si>
    <t>Ship to Mililani HI</t>
  </si>
  <si>
    <t>No response to survey</t>
  </si>
  <si>
    <t>Northern Light Media</t>
  </si>
  <si>
    <t>Ship to Inver Grove Heights</t>
  </si>
  <si>
    <t>Ship to Cottage Grove</t>
  </si>
  <si>
    <t>Ship to Duluth</t>
  </si>
  <si>
    <t>Ship to Brooklyn Center</t>
  </si>
  <si>
    <t>Original Contact</t>
  </si>
  <si>
    <t>Current Contact</t>
  </si>
  <si>
    <t>Email</t>
  </si>
  <si>
    <t>Phone</t>
  </si>
  <si>
    <t>Reed</t>
  </si>
  <si>
    <t>Thompson</t>
  </si>
  <si>
    <t>Dennis</t>
  </si>
  <si>
    <t>Pernu</t>
  </si>
  <si>
    <t>Kickstarter</t>
  </si>
  <si>
    <t>dennis.pernu@quartous.com</t>
  </si>
  <si>
    <t>612-344-8177</t>
  </si>
  <si>
    <t>Note:</t>
  </si>
  <si>
    <t>Anders</t>
  </si>
  <si>
    <t>Priley</t>
  </si>
  <si>
    <t>Chas</t>
  </si>
  <si>
    <t>Betz</t>
  </si>
  <si>
    <t>Mike</t>
  </si>
  <si>
    <t>Schumacher</t>
  </si>
  <si>
    <t>Aaron</t>
  </si>
  <si>
    <t>Sykes</t>
  </si>
  <si>
    <t>Windels</t>
  </si>
  <si>
    <t>Ian</t>
  </si>
  <si>
    <t>Erickson</t>
  </si>
  <si>
    <t>Joe</t>
  </si>
  <si>
    <t>Pollock</t>
  </si>
  <si>
    <t>Kris</t>
  </si>
  <si>
    <t>Hagan</t>
  </si>
  <si>
    <t>Dan</t>
  </si>
  <si>
    <t>Decible Points</t>
  </si>
  <si>
    <t>Josh</t>
  </si>
  <si>
    <t>Zenner</t>
  </si>
  <si>
    <t>Ensminger</t>
  </si>
  <si>
    <t>Phil</t>
  </si>
  <si>
    <t>Kristian</t>
  </si>
  <si>
    <t>Olson</t>
  </si>
  <si>
    <t>DiScala</t>
  </si>
  <si>
    <t>Aviv</t>
  </si>
  <si>
    <t>Baron</t>
  </si>
  <si>
    <t>Anna</t>
  </si>
  <si>
    <t>Marco-Cortiel</t>
  </si>
  <si>
    <t>Danella</t>
  </si>
  <si>
    <t>Myers</t>
  </si>
  <si>
    <t>Found me via CityPages - Book Offer</t>
  </si>
  <si>
    <t>Brandon</t>
  </si>
  <si>
    <t>Vasquez</t>
  </si>
  <si>
    <t>Twitter</t>
  </si>
  <si>
    <t>Meet Minnepolis</t>
  </si>
  <si>
    <t>Doug</t>
  </si>
  <si>
    <t>Heimstead</t>
  </si>
  <si>
    <t>Invited me to Meetup group</t>
  </si>
  <si>
    <t>Allison</t>
  </si>
  <si>
    <t>Doering</t>
  </si>
  <si>
    <t>Changed Order via message</t>
  </si>
  <si>
    <t>Wants prints via paypal</t>
  </si>
  <si>
    <t>discala242@gmail.com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</si>
</sst>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164" formatCode="&quot;$&quot;#,##0.00"/>
    <numFmt numFmtId="165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164" fontId="0" fillId="0" borderId="0" xfId="0" applyNumberForma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  <xf numFmtId="0" fontId="1" fillId="0" borderId="1" xfId="0" applyFont="1" applyBorder="1"/>
    <xf numFmtId="164" fontId="0" fillId="2" borderId="1" xfId="0" applyNumberFormat="1" applyFill="1" applyBorder="1"/>
    <xf numFmtId="0" fontId="0" fillId="2" borderId="1" xfId="0" applyNumberFormat="1" applyFill="1" applyBorder="1"/>
    <xf numFmtId="0" fontId="0" fillId="0" borderId="1" xfId="0" applyNumberFormat="1" applyFill="1" applyBorder="1"/>
    <xf numFmtId="164" fontId="1" fillId="0" borderId="1" xfId="0" applyNumberFormat="1" applyFont="1" applyBorder="1"/>
    <xf numFmtId="164" fontId="0" fillId="0" borderId="1" xfId="0" applyNumberFormat="1" applyFill="1" applyBorder="1"/>
    <xf numFmtId="0" fontId="0" fillId="0" borderId="0" xfId="0" applyFill="1"/>
    <xf numFmtId="0" fontId="1" fillId="0" borderId="2" xfId="0" applyFont="1" applyFill="1" applyBorder="1"/>
    <xf numFmtId="0" fontId="4" fillId="0" borderId="0" xfId="0" applyFont="1"/>
    <xf numFmtId="0" fontId="0" fillId="0" borderId="0" xfId="0" applyFont="1"/>
    <xf numFmtId="0" fontId="5" fillId="0" borderId="0" xfId="0" applyFont="1"/>
    <xf numFmtId="6" fontId="0" fillId="0" borderId="0" xfId="0" applyNumberFormat="1" applyFont="1"/>
    <xf numFmtId="165" fontId="0" fillId="0" borderId="0" xfId="0" applyNumberFormat="1"/>
    <xf numFmtId="164" fontId="0" fillId="0" borderId="0" xfId="0" applyNumberFormat="1" applyFont="1"/>
    <xf numFmtId="0" fontId="1" fillId="0" borderId="2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0" fillId="0" borderId="1" xfId="0" applyFont="1" applyBorder="1"/>
    <xf numFmtId="0" fontId="1" fillId="0" borderId="0" xfId="0" applyFont="1" applyFill="1"/>
    <xf numFmtId="0" fontId="1" fillId="0" borderId="2" xfId="0" applyFont="1" applyBorder="1"/>
    <xf numFmtId="0" fontId="1" fillId="0" borderId="0" xfId="0" applyFont="1" applyBorder="1"/>
    <xf numFmtId="0" fontId="0" fillId="2" borderId="0" xfId="0" applyNumberFormat="1" applyFill="1" applyBorder="1"/>
    <xf numFmtId="0" fontId="0" fillId="0" borderId="0" xfId="0" applyNumberFormat="1" applyFill="1" applyBorder="1"/>
    <xf numFmtId="0" fontId="2" fillId="0" borderId="0" xfId="37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discala242@gmail.com" TargetMode="External"/><Relationship Id="rId1" Type="http://schemas.openxmlformats.org/officeDocument/2006/relationships/hyperlink" Target="mailto:dennis.pernu@quarto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C31" sqref="C31"/>
    </sheetView>
  </sheetViews>
  <sheetFormatPr defaultColWidth="8.85546875" defaultRowHeight="15" x14ac:dyDescent="0.25"/>
  <cols>
    <col min="1" max="1" width="3" bestFit="1" customWidth="1"/>
    <col min="2" max="2" width="23.28515625" bestFit="1" customWidth="1"/>
    <col min="3" max="3" width="8.7109375" bestFit="1" customWidth="1"/>
    <col min="4" max="4" width="9.85546875" bestFit="1" customWidth="1"/>
    <col min="5" max="5" width="11.7109375" bestFit="1" customWidth="1"/>
    <col min="6" max="6" width="9.42578125" bestFit="1" customWidth="1"/>
    <col min="7" max="7" width="8.7109375" bestFit="1" customWidth="1"/>
    <col min="8" max="8" width="15.42578125" bestFit="1" customWidth="1"/>
    <col min="9" max="9" width="13.28515625" bestFit="1" customWidth="1"/>
    <col min="10" max="10" width="11.42578125" bestFit="1" customWidth="1"/>
    <col min="11" max="11" width="9.42578125" bestFit="1" customWidth="1"/>
    <col min="12" max="12" width="11.42578125" bestFit="1" customWidth="1"/>
    <col min="13" max="13" width="30.7109375" bestFit="1" customWidth="1"/>
    <col min="14" max="14" width="36.28515625" bestFit="1" customWidth="1"/>
  </cols>
  <sheetData>
    <row r="1" spans="1:14" s="2" customFormat="1" x14ac:dyDescent="0.25">
      <c r="B1" s="2" t="s">
        <v>33</v>
      </c>
      <c r="C1" s="2" t="s">
        <v>34</v>
      </c>
      <c r="D1" s="2" t="s">
        <v>45</v>
      </c>
      <c r="E1" s="2" t="s">
        <v>35</v>
      </c>
      <c r="F1" s="2" t="s">
        <v>2</v>
      </c>
      <c r="G1" s="2" t="s">
        <v>47</v>
      </c>
      <c r="H1" s="2" t="s">
        <v>50</v>
      </c>
      <c r="I1" s="2" t="s">
        <v>49</v>
      </c>
      <c r="J1" s="2" t="s">
        <v>0</v>
      </c>
      <c r="K1" s="2" t="s">
        <v>1</v>
      </c>
    </row>
    <row r="2" spans="1:14" x14ac:dyDescent="0.25">
      <c r="A2" t="s">
        <v>48</v>
      </c>
      <c r="B2" t="s">
        <v>38</v>
      </c>
      <c r="C2">
        <v>1</v>
      </c>
      <c r="D2" t="s">
        <v>46</v>
      </c>
      <c r="E2" s="1">
        <v>20</v>
      </c>
      <c r="F2" s="1">
        <v>2.2000000000000002</v>
      </c>
      <c r="G2" s="1">
        <v>2</v>
      </c>
      <c r="H2" s="1">
        <f>(F2+G2)*J2</f>
        <v>63</v>
      </c>
      <c r="I2" s="1">
        <f t="shared" ref="I2:I10" si="0">E2-(F2+G2)</f>
        <v>15.8</v>
      </c>
      <c r="J2" s="3">
        <v>15</v>
      </c>
      <c r="K2" s="1">
        <f>I2*J2</f>
        <v>237</v>
      </c>
    </row>
    <row r="3" spans="1:14" x14ac:dyDescent="0.25">
      <c r="A3">
        <v>2</v>
      </c>
      <c r="B3" t="s">
        <v>39</v>
      </c>
      <c r="C3">
        <v>3</v>
      </c>
      <c r="D3" t="s">
        <v>46</v>
      </c>
      <c r="E3" s="1">
        <v>45</v>
      </c>
      <c r="F3" s="1">
        <f>F2*C3</f>
        <v>6.6000000000000005</v>
      </c>
      <c r="G3" s="1">
        <v>2</v>
      </c>
      <c r="H3" s="1">
        <f t="shared" ref="H3:H10" si="1">(F3+G3)*J3</f>
        <v>86.000000000000014</v>
      </c>
      <c r="I3" s="1">
        <f t="shared" si="0"/>
        <v>36.4</v>
      </c>
      <c r="J3" s="3">
        <v>10</v>
      </c>
      <c r="K3" s="1">
        <f t="shared" ref="K3:K10" si="2">I3*J3</f>
        <v>364</v>
      </c>
    </row>
    <row r="4" spans="1:14" x14ac:dyDescent="0.25">
      <c r="A4">
        <v>3</v>
      </c>
      <c r="B4" t="s">
        <v>40</v>
      </c>
      <c r="C4">
        <v>1</v>
      </c>
      <c r="D4" t="s">
        <v>46</v>
      </c>
      <c r="E4" s="1">
        <v>30</v>
      </c>
      <c r="F4" s="1">
        <v>4.4000000000000004</v>
      </c>
      <c r="G4" s="1">
        <v>2</v>
      </c>
      <c r="H4" s="1">
        <f t="shared" si="1"/>
        <v>96</v>
      </c>
      <c r="I4" s="1">
        <f t="shared" si="0"/>
        <v>23.6</v>
      </c>
      <c r="J4" s="3">
        <v>15</v>
      </c>
      <c r="K4" s="1">
        <f t="shared" si="2"/>
        <v>354</v>
      </c>
    </row>
    <row r="5" spans="1:14" x14ac:dyDescent="0.25">
      <c r="A5">
        <v>4</v>
      </c>
      <c r="B5" t="s">
        <v>41</v>
      </c>
      <c r="C5">
        <v>3</v>
      </c>
      <c r="D5" t="s">
        <v>46</v>
      </c>
      <c r="E5" s="1">
        <v>70</v>
      </c>
      <c r="F5" s="1">
        <f>F4*C5</f>
        <v>13.200000000000001</v>
      </c>
      <c r="G5" s="1">
        <v>0</v>
      </c>
      <c r="H5" s="1">
        <f t="shared" si="1"/>
        <v>132</v>
      </c>
      <c r="I5" s="1">
        <f t="shared" si="0"/>
        <v>56.8</v>
      </c>
      <c r="J5" s="3">
        <v>10</v>
      </c>
      <c r="K5" s="1">
        <f t="shared" si="2"/>
        <v>568</v>
      </c>
    </row>
    <row r="6" spans="1:14" x14ac:dyDescent="0.25">
      <c r="A6">
        <v>5</v>
      </c>
      <c r="B6" t="s">
        <v>42</v>
      </c>
      <c r="C6">
        <v>1</v>
      </c>
      <c r="D6" t="s">
        <v>46</v>
      </c>
      <c r="E6" s="1">
        <v>40</v>
      </c>
      <c r="F6" s="1">
        <v>6.3</v>
      </c>
      <c r="G6" s="1">
        <v>2</v>
      </c>
      <c r="H6" s="1">
        <f t="shared" si="1"/>
        <v>83</v>
      </c>
      <c r="I6" s="1">
        <f t="shared" si="0"/>
        <v>31.7</v>
      </c>
      <c r="J6" s="3">
        <v>10</v>
      </c>
      <c r="K6" s="1">
        <f t="shared" si="2"/>
        <v>317</v>
      </c>
    </row>
    <row r="7" spans="1:14" x14ac:dyDescent="0.25">
      <c r="A7">
        <v>6</v>
      </c>
      <c r="B7" t="s">
        <v>43</v>
      </c>
      <c r="C7">
        <v>3</v>
      </c>
      <c r="D7" t="s">
        <v>46</v>
      </c>
      <c r="E7" s="1">
        <v>95</v>
      </c>
      <c r="F7" s="1">
        <f>F6*C7</f>
        <v>18.899999999999999</v>
      </c>
      <c r="G7" s="1">
        <v>0</v>
      </c>
      <c r="H7" s="1">
        <f t="shared" si="1"/>
        <v>94.5</v>
      </c>
      <c r="I7" s="1">
        <f t="shared" si="0"/>
        <v>76.099999999999994</v>
      </c>
      <c r="J7" s="3">
        <v>5</v>
      </c>
      <c r="K7" s="1">
        <f t="shared" si="2"/>
        <v>380.5</v>
      </c>
    </row>
    <row r="8" spans="1:14" x14ac:dyDescent="0.25">
      <c r="A8">
        <v>7</v>
      </c>
      <c r="B8" t="s">
        <v>44</v>
      </c>
      <c r="C8">
        <v>1</v>
      </c>
      <c r="D8">
        <v>15</v>
      </c>
      <c r="E8" s="1">
        <v>125</v>
      </c>
      <c r="F8" s="1">
        <v>42</v>
      </c>
      <c r="G8" s="1">
        <f>F8*0.15</f>
        <v>6.3</v>
      </c>
      <c r="H8" s="1">
        <f t="shared" si="1"/>
        <v>241.5</v>
      </c>
      <c r="I8" s="1">
        <f t="shared" si="0"/>
        <v>76.7</v>
      </c>
      <c r="J8" s="3">
        <v>5</v>
      </c>
      <c r="K8" s="1">
        <f t="shared" si="2"/>
        <v>383.5</v>
      </c>
    </row>
    <row r="9" spans="1:14" x14ac:dyDescent="0.25">
      <c r="A9">
        <v>8</v>
      </c>
      <c r="B9" t="s">
        <v>37</v>
      </c>
      <c r="C9">
        <v>1</v>
      </c>
      <c r="D9">
        <v>5</v>
      </c>
      <c r="E9" s="1">
        <v>250</v>
      </c>
      <c r="F9" s="1">
        <f>F5</f>
        <v>13.200000000000001</v>
      </c>
      <c r="G9" s="1">
        <v>0</v>
      </c>
      <c r="H9" s="1">
        <f>(F9+G9)*J9</f>
        <v>39.6</v>
      </c>
      <c r="I9" s="1">
        <f t="shared" si="0"/>
        <v>236.8</v>
      </c>
      <c r="J9" s="3">
        <v>3</v>
      </c>
      <c r="K9" s="1">
        <f t="shared" si="2"/>
        <v>710.40000000000009</v>
      </c>
    </row>
    <row r="10" spans="1:14" x14ac:dyDescent="0.25">
      <c r="A10">
        <v>9</v>
      </c>
      <c r="B10" t="s">
        <v>36</v>
      </c>
      <c r="C10">
        <v>1</v>
      </c>
      <c r="D10">
        <v>5</v>
      </c>
      <c r="E10" s="1">
        <v>350</v>
      </c>
      <c r="F10" s="1">
        <f>F7</f>
        <v>18.899999999999999</v>
      </c>
      <c r="G10" s="1">
        <v>0</v>
      </c>
      <c r="H10" s="1">
        <f t="shared" si="1"/>
        <v>37.799999999999997</v>
      </c>
      <c r="I10" s="1">
        <f t="shared" si="0"/>
        <v>331.1</v>
      </c>
      <c r="J10" s="3">
        <v>2</v>
      </c>
      <c r="K10" s="1">
        <f t="shared" si="2"/>
        <v>662.2</v>
      </c>
    </row>
    <row r="11" spans="1:14" s="2" customFormat="1" x14ac:dyDescent="0.25">
      <c r="B11" s="2" t="s">
        <v>48</v>
      </c>
      <c r="E11" s="2" t="s">
        <v>109</v>
      </c>
      <c r="H11" s="5">
        <f>SUM(H2:H9)</f>
        <v>835.6</v>
      </c>
      <c r="J11" s="4">
        <f>SUM(J2:J10)</f>
        <v>75</v>
      </c>
      <c r="K11" s="5">
        <f>SUM(K2:K10)</f>
        <v>3976.6000000000004</v>
      </c>
    </row>
    <row r="12" spans="1:14" x14ac:dyDescent="0.25">
      <c r="K12" s="5">
        <f>K11*0.9</f>
        <v>3578.9400000000005</v>
      </c>
    </row>
    <row r="14" spans="1:14" x14ac:dyDescent="0.25"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</row>
    <row r="18" spans="5:14" x14ac:dyDescent="0.25"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5:14" x14ac:dyDescent="0.25">
      <c r="N19" s="1"/>
    </row>
  </sheetData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I6" sqref="I6"/>
    </sheetView>
  </sheetViews>
  <sheetFormatPr defaultColWidth="8.85546875" defaultRowHeight="15" x14ac:dyDescent="0.25"/>
  <cols>
    <col min="1" max="1" width="16.85546875" bestFit="1" customWidth="1"/>
    <col min="2" max="2" width="19" bestFit="1" customWidth="1"/>
    <col min="3" max="3" width="8" bestFit="1" customWidth="1"/>
    <col min="4" max="4" width="10.7109375" bestFit="1" customWidth="1"/>
    <col min="5" max="5" width="8.7109375" bestFit="1" customWidth="1"/>
    <col min="6" max="6" width="7.85546875" bestFit="1" customWidth="1"/>
    <col min="7" max="7" width="8.7109375" bestFit="1" customWidth="1"/>
    <col min="8" max="8" width="13.7109375" bestFit="1" customWidth="1"/>
    <col min="9" max="9" width="11.7109375" bestFit="1" customWidth="1"/>
    <col min="10" max="10" width="10.42578125" bestFit="1" customWidth="1"/>
    <col min="11" max="11" width="9.28515625" customWidth="1"/>
  </cols>
  <sheetData>
    <row r="1" spans="1:11" x14ac:dyDescent="0.25">
      <c r="A1" s="2"/>
      <c r="B1" s="2" t="s">
        <v>33</v>
      </c>
      <c r="C1" s="2" t="s">
        <v>34</v>
      </c>
      <c r="D1" s="2" t="s">
        <v>35</v>
      </c>
      <c r="E1" s="2" t="s">
        <v>2</v>
      </c>
      <c r="F1" s="2" t="s">
        <v>47</v>
      </c>
      <c r="G1" s="2" t="s">
        <v>2</v>
      </c>
      <c r="H1" s="2" t="s">
        <v>50</v>
      </c>
      <c r="I1" s="2" t="s">
        <v>49</v>
      </c>
      <c r="J1" s="2" t="s">
        <v>0</v>
      </c>
      <c r="K1" s="2" t="s">
        <v>1</v>
      </c>
    </row>
    <row r="2" spans="1:11" s="15" customFormat="1" x14ac:dyDescent="0.25">
      <c r="A2" s="14" t="s">
        <v>164</v>
      </c>
      <c r="B2" s="15" t="s">
        <v>165</v>
      </c>
      <c r="C2" s="15">
        <v>1</v>
      </c>
      <c r="D2" s="17">
        <v>5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5">
        <v>4</v>
      </c>
    </row>
    <row r="3" spans="1:11" x14ac:dyDescent="0.25">
      <c r="A3" t="s">
        <v>163</v>
      </c>
      <c r="B3" t="s">
        <v>110</v>
      </c>
      <c r="C3">
        <v>1</v>
      </c>
      <c r="D3" s="18">
        <v>20</v>
      </c>
      <c r="E3" s="1">
        <v>2.2000000000000002</v>
      </c>
      <c r="F3" s="1">
        <v>0</v>
      </c>
      <c r="G3" s="1">
        <f t="shared" ref="G3:G12" si="0">C3*E3*J3</f>
        <v>35.200000000000003</v>
      </c>
      <c r="H3" s="1">
        <f>(E3+F3)*J3</f>
        <v>35.200000000000003</v>
      </c>
      <c r="I3" s="1">
        <f>D3-(E3+F3)</f>
        <v>17.8</v>
      </c>
      <c r="J3" s="3">
        <v>16</v>
      </c>
      <c r="K3" s="1">
        <f>I3*J3</f>
        <v>284.8</v>
      </c>
    </row>
    <row r="4" spans="1:11" x14ac:dyDescent="0.25">
      <c r="A4" t="s">
        <v>166</v>
      </c>
      <c r="B4" t="s">
        <v>112</v>
      </c>
      <c r="C4">
        <v>1</v>
      </c>
      <c r="D4" s="18">
        <v>30</v>
      </c>
      <c r="E4" s="1">
        <v>4.4000000000000004</v>
      </c>
      <c r="F4" s="1">
        <v>0</v>
      </c>
      <c r="G4" s="1">
        <f t="shared" si="0"/>
        <v>39.6</v>
      </c>
      <c r="H4" s="1">
        <f>(E4+F4)*J4</f>
        <v>39.6</v>
      </c>
      <c r="I4" s="1">
        <f>D4-(E4+F4)</f>
        <v>25.6</v>
      </c>
      <c r="J4" s="3">
        <v>9</v>
      </c>
      <c r="K4" s="1">
        <f t="shared" ref="K4:K12" si="1">I4*J4</f>
        <v>230.4</v>
      </c>
    </row>
    <row r="5" spans="1:11" x14ac:dyDescent="0.25">
      <c r="A5" t="s">
        <v>167</v>
      </c>
      <c r="B5" t="s">
        <v>113</v>
      </c>
      <c r="C5">
        <v>1</v>
      </c>
      <c r="D5" s="18">
        <v>35</v>
      </c>
      <c r="E5" s="1">
        <v>0</v>
      </c>
      <c r="F5" s="1">
        <v>0</v>
      </c>
      <c r="G5" s="1">
        <f t="shared" si="0"/>
        <v>0</v>
      </c>
      <c r="H5" s="19">
        <v>0</v>
      </c>
      <c r="I5" s="19">
        <v>35</v>
      </c>
      <c r="J5" s="3">
        <v>8</v>
      </c>
      <c r="K5" s="1">
        <f t="shared" si="1"/>
        <v>280</v>
      </c>
    </row>
    <row r="6" spans="1:11" x14ac:dyDescent="0.25">
      <c r="A6" t="s">
        <v>168</v>
      </c>
      <c r="B6" t="s">
        <v>111</v>
      </c>
      <c r="C6">
        <v>1</v>
      </c>
      <c r="D6" s="18">
        <v>40</v>
      </c>
      <c r="E6" s="1">
        <v>5.7</v>
      </c>
      <c r="F6" s="1">
        <v>0</v>
      </c>
      <c r="G6" s="1">
        <f t="shared" si="0"/>
        <v>79.8</v>
      </c>
      <c r="H6" s="1">
        <f t="shared" ref="H6:H12" si="2">(E6+F6)*J6</f>
        <v>79.8</v>
      </c>
      <c r="I6" s="1">
        <f t="shared" ref="I6:I12" si="3">D6-(E6+F6)</f>
        <v>34.299999999999997</v>
      </c>
      <c r="J6" s="3">
        <v>14</v>
      </c>
      <c r="K6" s="1">
        <f t="shared" si="1"/>
        <v>480.19999999999993</v>
      </c>
    </row>
    <row r="7" spans="1:11" x14ac:dyDescent="0.25">
      <c r="A7" t="s">
        <v>169</v>
      </c>
      <c r="B7" t="s">
        <v>39</v>
      </c>
      <c r="C7">
        <v>3</v>
      </c>
      <c r="D7" s="18">
        <v>45</v>
      </c>
      <c r="E7" s="1">
        <f>E3</f>
        <v>2.2000000000000002</v>
      </c>
      <c r="F7" s="1">
        <v>0</v>
      </c>
      <c r="G7" s="1">
        <f t="shared" si="0"/>
        <v>59.400000000000006</v>
      </c>
      <c r="H7" s="1">
        <f t="shared" si="2"/>
        <v>19.8</v>
      </c>
      <c r="I7" s="1">
        <f t="shared" si="3"/>
        <v>42.8</v>
      </c>
      <c r="J7" s="3">
        <v>9</v>
      </c>
      <c r="K7" s="1">
        <f t="shared" si="1"/>
        <v>385.2</v>
      </c>
    </row>
    <row r="8" spans="1:11" x14ac:dyDescent="0.25">
      <c r="A8" t="s">
        <v>170</v>
      </c>
      <c r="B8" t="s">
        <v>41</v>
      </c>
      <c r="C8">
        <v>3</v>
      </c>
      <c r="D8" s="18">
        <v>70</v>
      </c>
      <c r="E8" s="1">
        <f>E4</f>
        <v>4.4000000000000004</v>
      </c>
      <c r="F8" s="1">
        <v>0</v>
      </c>
      <c r="G8" s="1">
        <f t="shared" si="0"/>
        <v>105.60000000000001</v>
      </c>
      <c r="H8" s="1">
        <f t="shared" si="2"/>
        <v>35.200000000000003</v>
      </c>
      <c r="I8" s="1">
        <f t="shared" si="3"/>
        <v>65.599999999999994</v>
      </c>
      <c r="J8" s="3">
        <v>8</v>
      </c>
      <c r="K8" s="1">
        <f t="shared" si="1"/>
        <v>524.79999999999995</v>
      </c>
    </row>
    <row r="9" spans="1:11" x14ac:dyDescent="0.25">
      <c r="A9" t="s">
        <v>171</v>
      </c>
      <c r="B9" t="s">
        <v>44</v>
      </c>
      <c r="C9">
        <v>1</v>
      </c>
      <c r="D9" s="18">
        <v>125</v>
      </c>
      <c r="E9" s="1">
        <v>42</v>
      </c>
      <c r="F9" s="1">
        <v>0</v>
      </c>
      <c r="G9" s="1">
        <f t="shared" si="0"/>
        <v>210</v>
      </c>
      <c r="H9" s="1">
        <f t="shared" si="2"/>
        <v>210</v>
      </c>
      <c r="I9" s="1">
        <f t="shared" si="3"/>
        <v>83</v>
      </c>
      <c r="J9" s="3">
        <v>5</v>
      </c>
      <c r="K9" s="1">
        <f t="shared" si="1"/>
        <v>415</v>
      </c>
    </row>
    <row r="10" spans="1:11" x14ac:dyDescent="0.25">
      <c r="A10" t="s">
        <v>172</v>
      </c>
      <c r="B10" t="s">
        <v>115</v>
      </c>
      <c r="C10">
        <v>3</v>
      </c>
      <c r="D10" s="18">
        <v>250</v>
      </c>
      <c r="E10" s="1">
        <v>4.4000000000000004</v>
      </c>
      <c r="F10" s="1">
        <v>0</v>
      </c>
      <c r="G10" s="1">
        <f t="shared" si="0"/>
        <v>52.800000000000004</v>
      </c>
      <c r="H10" s="1">
        <f t="shared" si="2"/>
        <v>17.600000000000001</v>
      </c>
      <c r="I10" s="1">
        <f t="shared" si="3"/>
        <v>245.6</v>
      </c>
      <c r="J10" s="3">
        <v>4</v>
      </c>
      <c r="K10" s="1">
        <f t="shared" si="1"/>
        <v>982.4</v>
      </c>
    </row>
    <row r="11" spans="1:11" x14ac:dyDescent="0.25">
      <c r="A11" t="s">
        <v>173</v>
      </c>
      <c r="B11" t="s">
        <v>116</v>
      </c>
      <c r="C11">
        <v>3</v>
      </c>
      <c r="D11" s="18">
        <v>325</v>
      </c>
      <c r="E11" s="1">
        <v>4.4000000000000004</v>
      </c>
      <c r="F11" s="1">
        <v>0</v>
      </c>
      <c r="G11" s="1">
        <f t="shared" si="0"/>
        <v>13.200000000000001</v>
      </c>
      <c r="H11" s="1">
        <f t="shared" si="2"/>
        <v>4.4000000000000004</v>
      </c>
      <c r="I11" s="1">
        <f t="shared" si="3"/>
        <v>320.60000000000002</v>
      </c>
      <c r="J11" s="3">
        <v>1</v>
      </c>
      <c r="K11" s="1">
        <f t="shared" si="1"/>
        <v>320.60000000000002</v>
      </c>
    </row>
    <row r="12" spans="1:11" x14ac:dyDescent="0.25">
      <c r="A12" t="s">
        <v>174</v>
      </c>
      <c r="B12" t="s">
        <v>114</v>
      </c>
      <c r="C12">
        <v>3</v>
      </c>
      <c r="D12" s="18">
        <v>350</v>
      </c>
      <c r="E12" s="1">
        <v>20</v>
      </c>
      <c r="F12" s="1">
        <v>0</v>
      </c>
      <c r="G12" s="1">
        <f t="shared" si="0"/>
        <v>60</v>
      </c>
      <c r="H12" s="1">
        <f t="shared" si="2"/>
        <v>20</v>
      </c>
      <c r="I12" s="1">
        <f t="shared" si="3"/>
        <v>330</v>
      </c>
      <c r="J12" s="3">
        <v>1</v>
      </c>
      <c r="K12" s="1">
        <f t="shared" si="1"/>
        <v>330</v>
      </c>
    </row>
    <row r="13" spans="1:11" x14ac:dyDescent="0.25">
      <c r="A13" s="2"/>
      <c r="B13" s="2"/>
      <c r="C13" s="2"/>
      <c r="D13" s="2"/>
      <c r="E13" s="2"/>
      <c r="F13" s="2"/>
      <c r="G13" s="5">
        <f>SUM(G3:G12)</f>
        <v>655.6</v>
      </c>
      <c r="H13" s="5">
        <f>SUM(H3:H12)</f>
        <v>461.6</v>
      </c>
      <c r="I13" s="2"/>
      <c r="J13" s="4">
        <f>SUM(J2:J12)</f>
        <v>79</v>
      </c>
      <c r="K13" s="5">
        <f>SUM(K3:K12)</f>
        <v>4233.3999999999996</v>
      </c>
    </row>
    <row r="14" spans="1:11" x14ac:dyDescent="0.25">
      <c r="A14" s="2"/>
      <c r="B14" s="2"/>
      <c r="C14" s="2"/>
      <c r="D14" s="2"/>
      <c r="E14" s="2"/>
      <c r="F14" s="2"/>
      <c r="G14" s="5"/>
      <c r="H14" s="5"/>
      <c r="I14" s="2"/>
      <c r="J14" s="4" t="s">
        <v>117</v>
      </c>
      <c r="K14" s="5">
        <f>3647 -K13</f>
        <v>-586.39999999999964</v>
      </c>
    </row>
    <row r="15" spans="1:11" x14ac:dyDescent="0.25">
      <c r="J15" t="s">
        <v>118</v>
      </c>
      <c r="K15" s="5">
        <f>K14+K13</f>
        <v>3647</v>
      </c>
    </row>
    <row r="16" spans="1:11" x14ac:dyDescent="0.25">
      <c r="J16" t="s">
        <v>119</v>
      </c>
      <c r="K16" s="1">
        <f>(K15*0.9)-G13</f>
        <v>2626.7000000000003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"/>
  <sheetViews>
    <sheetView workbookViewId="0">
      <selection activeCell="B37" sqref="B37"/>
    </sheetView>
  </sheetViews>
  <sheetFormatPr defaultColWidth="8.85546875" defaultRowHeight="15" x14ac:dyDescent="0.25"/>
  <cols>
    <col min="2" max="2" width="23.7109375" bestFit="1" customWidth="1"/>
    <col min="3" max="3" width="14.85546875" bestFit="1" customWidth="1"/>
    <col min="4" max="4" width="11.7109375" bestFit="1" customWidth="1"/>
    <col min="5" max="5" width="5.7109375" bestFit="1" customWidth="1"/>
    <col min="6" max="6" width="6.42578125" bestFit="1" customWidth="1"/>
    <col min="7" max="7" width="9.140625" style="1" bestFit="1" customWidth="1"/>
    <col min="8" max="8" width="23.42578125" bestFit="1" customWidth="1"/>
    <col min="9" max="9" width="20.140625" bestFit="1" customWidth="1"/>
    <col min="10" max="10" width="17.42578125" bestFit="1" customWidth="1"/>
    <col min="11" max="11" width="11" style="22" bestFit="1" customWidth="1"/>
    <col min="12" max="12" width="10" bestFit="1" customWidth="1"/>
    <col min="13" max="15" width="4.28515625" bestFit="1" customWidth="1"/>
  </cols>
  <sheetData>
    <row r="1" spans="1:15" x14ac:dyDescent="0.25">
      <c r="B1" s="6" t="s">
        <v>3</v>
      </c>
      <c r="C1" s="6" t="s">
        <v>29</v>
      </c>
      <c r="D1" s="6" t="s">
        <v>30</v>
      </c>
      <c r="E1" s="6" t="s">
        <v>31</v>
      </c>
      <c r="F1" s="6" t="s">
        <v>32</v>
      </c>
      <c r="G1" s="10" t="s">
        <v>51</v>
      </c>
      <c r="H1" s="6" t="s">
        <v>145</v>
      </c>
      <c r="I1" s="27" t="s">
        <v>191</v>
      </c>
      <c r="J1" s="27" t="s">
        <v>182</v>
      </c>
      <c r="K1" s="20" t="s">
        <v>175</v>
      </c>
      <c r="L1" s="13" t="s">
        <v>146</v>
      </c>
      <c r="M1" s="13" t="s">
        <v>147</v>
      </c>
      <c r="N1" s="13" t="s">
        <v>148</v>
      </c>
      <c r="O1" s="13" t="s">
        <v>149</v>
      </c>
    </row>
    <row r="2" spans="1:15" x14ac:dyDescent="0.25">
      <c r="B2" s="25" t="s">
        <v>177</v>
      </c>
      <c r="C2" s="6"/>
      <c r="D2" s="6"/>
      <c r="E2" s="6"/>
      <c r="F2" s="6"/>
      <c r="G2" s="10"/>
      <c r="H2" s="6"/>
      <c r="I2" s="28"/>
      <c r="J2" s="28"/>
      <c r="K2" s="23"/>
      <c r="L2" s="24"/>
      <c r="M2" s="24"/>
      <c r="N2" s="24"/>
      <c r="O2" s="24"/>
    </row>
    <row r="3" spans="1:15" s="2" customFormat="1" x14ac:dyDescent="0.25">
      <c r="A3"/>
      <c r="B3" s="8" t="s">
        <v>23</v>
      </c>
      <c r="C3" s="8" t="str">
        <f t="shared" ref="C3:C17" si="0">LEFT(B3, E3-1)</f>
        <v>Aaron</v>
      </c>
      <c r="D3" s="8" t="str">
        <f t="shared" ref="D3:D17" si="1">RIGHT(B3, F3-E3)</f>
        <v>Windels</v>
      </c>
      <c r="E3" s="8">
        <f t="shared" ref="E3:E17" si="2">FIND(" ",B3)</f>
        <v>6</v>
      </c>
      <c r="F3" s="8">
        <f t="shared" ref="F3:F17" si="3">LEN(B3)</f>
        <v>13</v>
      </c>
      <c r="G3" s="7">
        <v>6</v>
      </c>
      <c r="H3" s="8" t="s">
        <v>58</v>
      </c>
      <c r="I3" s="29"/>
      <c r="J3" s="29" t="s">
        <v>150</v>
      </c>
      <c r="K3" s="21" t="s">
        <v>176</v>
      </c>
      <c r="L3" s="2" t="s">
        <v>150</v>
      </c>
      <c r="M3" s="2" t="s">
        <v>150</v>
      </c>
      <c r="N3" s="2" t="s">
        <v>150</v>
      </c>
      <c r="O3" s="2" t="s">
        <v>150</v>
      </c>
    </row>
    <row r="4" spans="1:15" x14ac:dyDescent="0.25">
      <c r="B4" s="8" t="s">
        <v>125</v>
      </c>
      <c r="C4" s="8" t="str">
        <f t="shared" si="0"/>
        <v>Adrian</v>
      </c>
      <c r="D4" s="8" t="str">
        <f t="shared" si="1"/>
        <v>Moga</v>
      </c>
      <c r="E4" s="8">
        <f t="shared" si="2"/>
        <v>7</v>
      </c>
      <c r="F4" s="8">
        <f t="shared" si="3"/>
        <v>11</v>
      </c>
      <c r="G4" s="7">
        <v>1</v>
      </c>
      <c r="H4" s="8"/>
      <c r="I4" s="29"/>
      <c r="J4" s="29" t="s">
        <v>150</v>
      </c>
      <c r="K4" s="21" t="s">
        <v>176</v>
      </c>
      <c r="L4" s="2" t="s">
        <v>150</v>
      </c>
      <c r="M4" s="2" t="s">
        <v>150</v>
      </c>
      <c r="N4" s="2" t="s">
        <v>150</v>
      </c>
      <c r="O4" s="2" t="s">
        <v>150</v>
      </c>
    </row>
    <row r="5" spans="1:15" x14ac:dyDescent="0.25">
      <c r="A5" s="2"/>
      <c r="B5" s="8" t="s">
        <v>123</v>
      </c>
      <c r="C5" s="8" t="str">
        <f t="shared" si="0"/>
        <v>Alina</v>
      </c>
      <c r="D5" s="8" t="str">
        <f t="shared" si="1"/>
        <v>?</v>
      </c>
      <c r="E5" s="8">
        <f t="shared" si="2"/>
        <v>6</v>
      </c>
      <c r="F5" s="8">
        <f t="shared" si="3"/>
        <v>7</v>
      </c>
      <c r="G5" s="7">
        <v>1</v>
      </c>
      <c r="H5" s="8"/>
      <c r="I5" s="29"/>
      <c r="J5" s="29" t="s">
        <v>150</v>
      </c>
      <c r="K5" s="21" t="s">
        <v>176</v>
      </c>
      <c r="L5" s="2" t="s">
        <v>150</v>
      </c>
      <c r="M5" s="2" t="s">
        <v>150</v>
      </c>
      <c r="N5" s="2" t="s">
        <v>150</v>
      </c>
      <c r="O5" s="2" t="s">
        <v>150</v>
      </c>
    </row>
    <row r="6" spans="1:15" x14ac:dyDescent="0.25">
      <c r="B6" s="8" t="s">
        <v>134</v>
      </c>
      <c r="C6" s="8" t="str">
        <f t="shared" si="0"/>
        <v>Bill</v>
      </c>
      <c r="D6" s="8" t="str">
        <f t="shared" si="1"/>
        <v>Garcia-Solis</v>
      </c>
      <c r="E6" s="8">
        <f t="shared" si="2"/>
        <v>5</v>
      </c>
      <c r="F6" s="8">
        <f t="shared" si="3"/>
        <v>17</v>
      </c>
      <c r="G6" s="7">
        <v>1</v>
      </c>
      <c r="H6" s="8"/>
      <c r="I6" s="29"/>
      <c r="J6" s="29" t="s">
        <v>150</v>
      </c>
      <c r="K6" s="21" t="s">
        <v>176</v>
      </c>
      <c r="L6" s="2" t="s">
        <v>150</v>
      </c>
      <c r="M6" s="2" t="s">
        <v>150</v>
      </c>
      <c r="N6" s="2" t="s">
        <v>150</v>
      </c>
      <c r="O6" s="2" t="s">
        <v>150</v>
      </c>
    </row>
    <row r="7" spans="1:15" x14ac:dyDescent="0.25">
      <c r="B7" s="8" t="s">
        <v>135</v>
      </c>
      <c r="C7" s="8" t="str">
        <f t="shared" si="0"/>
        <v>Christopher</v>
      </c>
      <c r="D7" s="8" t="str">
        <f t="shared" si="1"/>
        <v>Denise</v>
      </c>
      <c r="E7" s="8">
        <f t="shared" si="2"/>
        <v>12</v>
      </c>
      <c r="F7" s="8">
        <f t="shared" si="3"/>
        <v>18</v>
      </c>
      <c r="G7" s="7">
        <v>1</v>
      </c>
      <c r="H7" s="8"/>
      <c r="I7" s="29"/>
      <c r="J7" s="29" t="s">
        <v>150</v>
      </c>
      <c r="K7" s="21" t="s">
        <v>176</v>
      </c>
      <c r="L7" s="2" t="s">
        <v>150</v>
      </c>
      <c r="M7" s="2" t="s">
        <v>150</v>
      </c>
      <c r="N7" s="2" t="s">
        <v>150</v>
      </c>
      <c r="O7" s="2" t="s">
        <v>150</v>
      </c>
    </row>
    <row r="8" spans="1:15" x14ac:dyDescent="0.25">
      <c r="B8" s="8" t="s">
        <v>85</v>
      </c>
      <c r="C8" s="8" t="str">
        <f t="shared" si="0"/>
        <v>Graeme</v>
      </c>
      <c r="D8" s="8" t="str">
        <f t="shared" si="1"/>
        <v>Thickins</v>
      </c>
      <c r="E8" s="8">
        <f t="shared" si="2"/>
        <v>7</v>
      </c>
      <c r="F8" s="8">
        <f t="shared" si="3"/>
        <v>15</v>
      </c>
      <c r="G8" s="7">
        <v>1</v>
      </c>
      <c r="H8" s="8"/>
      <c r="I8" s="29"/>
      <c r="J8" s="29" t="s">
        <v>150</v>
      </c>
      <c r="K8" s="21" t="s">
        <v>176</v>
      </c>
      <c r="L8" s="2" t="s">
        <v>150</v>
      </c>
      <c r="M8" s="2" t="s">
        <v>150</v>
      </c>
      <c r="N8" s="2" t="s">
        <v>150</v>
      </c>
      <c r="O8" s="2" t="s">
        <v>150</v>
      </c>
    </row>
    <row r="9" spans="1:15" x14ac:dyDescent="0.25">
      <c r="B9" s="8" t="s">
        <v>138</v>
      </c>
      <c r="C9" s="8" t="str">
        <f t="shared" si="0"/>
        <v>Justin</v>
      </c>
      <c r="D9" s="8" t="str">
        <f t="shared" si="1"/>
        <v>Jones</v>
      </c>
      <c r="E9" s="8">
        <f t="shared" si="2"/>
        <v>7</v>
      </c>
      <c r="F9" s="8">
        <f t="shared" si="3"/>
        <v>12</v>
      </c>
      <c r="G9" s="7">
        <v>2</v>
      </c>
      <c r="H9" s="8"/>
      <c r="I9" s="29"/>
      <c r="J9" s="29" t="s">
        <v>150</v>
      </c>
      <c r="K9" s="21" t="s">
        <v>176</v>
      </c>
      <c r="L9" s="2" t="s">
        <v>150</v>
      </c>
      <c r="M9" s="2" t="s">
        <v>150</v>
      </c>
      <c r="N9" s="2" t="s">
        <v>150</v>
      </c>
      <c r="O9" s="2" t="s">
        <v>150</v>
      </c>
    </row>
    <row r="10" spans="1:15" x14ac:dyDescent="0.25">
      <c r="B10" s="8" t="s">
        <v>95</v>
      </c>
      <c r="C10" s="8" t="str">
        <f t="shared" si="0"/>
        <v>Kodee</v>
      </c>
      <c r="D10" s="8" t="str">
        <f t="shared" si="1"/>
        <v>Cahill</v>
      </c>
      <c r="E10" s="8">
        <f t="shared" si="2"/>
        <v>6</v>
      </c>
      <c r="F10" s="8">
        <f t="shared" si="3"/>
        <v>12</v>
      </c>
      <c r="G10" s="7">
        <v>1</v>
      </c>
      <c r="H10" s="8"/>
      <c r="I10" s="29"/>
      <c r="J10" s="29" t="s">
        <v>150</v>
      </c>
      <c r="K10" s="21" t="s">
        <v>176</v>
      </c>
      <c r="L10" s="2" t="s">
        <v>150</v>
      </c>
      <c r="M10" s="2" t="s">
        <v>150</v>
      </c>
      <c r="N10" s="2" t="s">
        <v>150</v>
      </c>
      <c r="O10" s="2" t="s">
        <v>150</v>
      </c>
    </row>
    <row r="11" spans="1:15" x14ac:dyDescent="0.25">
      <c r="A11" s="12" t="s">
        <v>178</v>
      </c>
      <c r="B11" s="8" t="s">
        <v>122</v>
      </c>
      <c r="C11" s="8" t="str">
        <f t="shared" si="0"/>
        <v>Mike</v>
      </c>
      <c r="D11" s="8" t="str">
        <f t="shared" si="1"/>
        <v>Schumaker</v>
      </c>
      <c r="E11" s="8">
        <f t="shared" si="2"/>
        <v>5</v>
      </c>
      <c r="F11" s="8">
        <f t="shared" si="3"/>
        <v>14</v>
      </c>
      <c r="G11" s="7">
        <v>200</v>
      </c>
      <c r="H11" s="8" t="s">
        <v>65</v>
      </c>
      <c r="I11" s="29" t="s">
        <v>194</v>
      </c>
      <c r="J11" s="29" t="s">
        <v>183</v>
      </c>
      <c r="K11" s="21" t="s">
        <v>176</v>
      </c>
      <c r="L11" s="2" t="s">
        <v>150</v>
      </c>
      <c r="M11" s="2" t="s">
        <v>150</v>
      </c>
      <c r="N11" s="2" t="s">
        <v>150</v>
      </c>
      <c r="O11" s="2" t="s">
        <v>150</v>
      </c>
    </row>
    <row r="12" spans="1:15" x14ac:dyDescent="0.25">
      <c r="A12" t="s">
        <v>178</v>
      </c>
      <c r="B12" s="8" t="s">
        <v>28</v>
      </c>
      <c r="C12" s="8" t="str">
        <f t="shared" si="0"/>
        <v>Patrick</v>
      </c>
      <c r="D12" s="8" t="str">
        <f t="shared" si="1"/>
        <v>Fuentes</v>
      </c>
      <c r="E12" s="8">
        <f t="shared" si="2"/>
        <v>8</v>
      </c>
      <c r="F12" s="8">
        <f t="shared" si="3"/>
        <v>15</v>
      </c>
      <c r="G12" s="7">
        <v>0</v>
      </c>
      <c r="H12" s="8" t="s">
        <v>179</v>
      </c>
      <c r="I12" s="29" t="s">
        <v>193</v>
      </c>
      <c r="J12" s="29" t="s">
        <v>184</v>
      </c>
      <c r="K12" s="21" t="s">
        <v>176</v>
      </c>
      <c r="L12" s="2" t="s">
        <v>150</v>
      </c>
      <c r="M12" s="2" t="s">
        <v>150</v>
      </c>
      <c r="N12" s="2" t="s">
        <v>150</v>
      </c>
      <c r="O12" s="2" t="s">
        <v>150</v>
      </c>
    </row>
    <row r="13" spans="1:15" x14ac:dyDescent="0.25">
      <c r="B13" s="8" t="s">
        <v>84</v>
      </c>
      <c r="C13" s="8" t="str">
        <f t="shared" si="0"/>
        <v>Rob</v>
      </c>
      <c r="D13" s="8" t="str">
        <f t="shared" si="1"/>
        <v>Davis</v>
      </c>
      <c r="E13" s="8">
        <f t="shared" si="2"/>
        <v>4</v>
      </c>
      <c r="F13" s="8">
        <f t="shared" si="3"/>
        <v>9</v>
      </c>
      <c r="G13" s="7">
        <v>1</v>
      </c>
      <c r="H13" s="8"/>
      <c r="I13" s="29"/>
      <c r="J13" s="29" t="s">
        <v>150</v>
      </c>
      <c r="K13" s="21" t="s">
        <v>176</v>
      </c>
      <c r="L13" s="2" t="s">
        <v>150</v>
      </c>
      <c r="M13" s="2" t="s">
        <v>150</v>
      </c>
      <c r="N13" s="2" t="s">
        <v>150</v>
      </c>
      <c r="O13" s="2" t="s">
        <v>150</v>
      </c>
    </row>
    <row r="14" spans="1:15" x14ac:dyDescent="0.25">
      <c r="B14" s="8" t="s">
        <v>22</v>
      </c>
      <c r="C14" s="8" t="str">
        <f t="shared" si="0"/>
        <v>Sophia</v>
      </c>
      <c r="D14" s="8" t="str">
        <f t="shared" si="1"/>
        <v>Ceulemans</v>
      </c>
      <c r="E14" s="8">
        <f t="shared" si="2"/>
        <v>7</v>
      </c>
      <c r="F14" s="8">
        <f t="shared" si="3"/>
        <v>16</v>
      </c>
      <c r="G14" s="7">
        <v>10</v>
      </c>
      <c r="H14" s="8" t="s">
        <v>56</v>
      </c>
      <c r="I14" s="29"/>
      <c r="J14" s="29" t="s">
        <v>150</v>
      </c>
      <c r="K14" s="21" t="s">
        <v>176</v>
      </c>
      <c r="L14" s="2" t="s">
        <v>150</v>
      </c>
      <c r="M14" s="2" t="s">
        <v>150</v>
      </c>
      <c r="N14" s="2" t="s">
        <v>150</v>
      </c>
      <c r="O14" s="2" t="s">
        <v>150</v>
      </c>
    </row>
    <row r="15" spans="1:15" x14ac:dyDescent="0.25">
      <c r="B15" s="8" t="s">
        <v>104</v>
      </c>
      <c r="C15" s="8" t="str">
        <f t="shared" si="0"/>
        <v>Thomas</v>
      </c>
      <c r="D15" s="8" t="str">
        <f t="shared" si="1"/>
        <v>Donahue</v>
      </c>
      <c r="E15" s="8">
        <f t="shared" si="2"/>
        <v>7</v>
      </c>
      <c r="F15" s="8">
        <f t="shared" si="3"/>
        <v>14</v>
      </c>
      <c r="G15" s="7">
        <v>1</v>
      </c>
      <c r="H15" s="8"/>
      <c r="I15" s="29"/>
      <c r="J15" s="29" t="s">
        <v>150</v>
      </c>
      <c r="K15" s="21" t="s">
        <v>176</v>
      </c>
      <c r="L15" s="2" t="s">
        <v>150</v>
      </c>
      <c r="M15" s="2" t="s">
        <v>150</v>
      </c>
      <c r="N15" s="2" t="s">
        <v>150</v>
      </c>
      <c r="O15" s="2" t="s">
        <v>150</v>
      </c>
    </row>
    <row r="16" spans="1:15" x14ac:dyDescent="0.25">
      <c r="A16" t="s">
        <v>178</v>
      </c>
      <c r="B16" s="8" t="s">
        <v>18</v>
      </c>
      <c r="C16" s="8" t="str">
        <f t="shared" si="0"/>
        <v>Will</v>
      </c>
      <c r="D16" s="8" t="str">
        <f t="shared" si="1"/>
        <v>Mitchell</v>
      </c>
      <c r="E16" s="8">
        <f t="shared" si="2"/>
        <v>5</v>
      </c>
      <c r="F16" s="8">
        <f t="shared" si="3"/>
        <v>13</v>
      </c>
      <c r="G16" s="7">
        <v>1</v>
      </c>
      <c r="H16" s="8" t="s">
        <v>65</v>
      </c>
      <c r="I16" s="29" t="s">
        <v>193</v>
      </c>
      <c r="J16" s="29" t="s">
        <v>183</v>
      </c>
      <c r="K16" s="21" t="s">
        <v>176</v>
      </c>
      <c r="L16" s="2" t="s">
        <v>150</v>
      </c>
      <c r="M16" s="2" t="s">
        <v>150</v>
      </c>
      <c r="N16" s="2" t="s">
        <v>150</v>
      </c>
      <c r="O16" s="2" t="s">
        <v>150</v>
      </c>
    </row>
    <row r="17" spans="1:15" s="12" customFormat="1" x14ac:dyDescent="0.25">
      <c r="A17"/>
      <c r="B17" s="8" t="s">
        <v>59</v>
      </c>
      <c r="C17" s="8" t="str">
        <f t="shared" si="0"/>
        <v>William</v>
      </c>
      <c r="D17" s="8" t="str">
        <f t="shared" si="1"/>
        <v>Earley</v>
      </c>
      <c r="E17" s="8">
        <f t="shared" si="2"/>
        <v>8</v>
      </c>
      <c r="F17" s="8">
        <f t="shared" si="3"/>
        <v>14</v>
      </c>
      <c r="G17" s="7">
        <v>1</v>
      </c>
      <c r="H17" s="8" t="s">
        <v>58</v>
      </c>
      <c r="I17" s="29"/>
      <c r="J17" s="29" t="s">
        <v>150</v>
      </c>
      <c r="K17" s="21" t="s">
        <v>176</v>
      </c>
      <c r="L17" s="2" t="s">
        <v>150</v>
      </c>
      <c r="M17" s="2" t="s">
        <v>150</v>
      </c>
      <c r="N17" s="2" t="s">
        <v>150</v>
      </c>
      <c r="O17" s="2" t="s">
        <v>150</v>
      </c>
    </row>
    <row r="18" spans="1:15" s="12" customFormat="1" x14ac:dyDescent="0.25">
      <c r="B18" s="9" t="s">
        <v>181</v>
      </c>
      <c r="C18" s="9"/>
      <c r="D18" s="9"/>
      <c r="E18" s="9"/>
      <c r="F18" s="9"/>
      <c r="G18" s="11"/>
      <c r="H18" s="9"/>
      <c r="I18" s="30"/>
      <c r="J18" s="30"/>
      <c r="K18" s="21"/>
      <c r="L18" s="26"/>
      <c r="M18" s="26"/>
      <c r="N18" s="26"/>
      <c r="O18" s="26"/>
    </row>
    <row r="19" spans="1:15" x14ac:dyDescent="0.25">
      <c r="A19">
        <v>1</v>
      </c>
      <c r="B19" s="8" t="s">
        <v>4</v>
      </c>
      <c r="C19" s="8" t="str">
        <f>LEFT(B19, E19-1)</f>
        <v>Bryan</v>
      </c>
      <c r="D19" s="8" t="str">
        <f>RIGHT(B19, F19-E19)</f>
        <v>Koop</v>
      </c>
      <c r="E19" s="8">
        <f>FIND(" ",B19)</f>
        <v>6</v>
      </c>
      <c r="F19" s="8">
        <f>LEN(B19)</f>
        <v>10</v>
      </c>
      <c r="G19" s="7">
        <v>5</v>
      </c>
      <c r="H19" s="8" t="s">
        <v>64</v>
      </c>
      <c r="I19" s="29"/>
      <c r="J19" s="29"/>
      <c r="K19" s="21" t="s">
        <v>176</v>
      </c>
      <c r="L19" s="2" t="s">
        <v>150</v>
      </c>
      <c r="M19" s="2" t="s">
        <v>150</v>
      </c>
      <c r="N19" s="2" t="s">
        <v>150</v>
      </c>
      <c r="O19" s="2" t="s">
        <v>150</v>
      </c>
    </row>
    <row r="20" spans="1:15" x14ac:dyDescent="0.25">
      <c r="A20">
        <v>2</v>
      </c>
      <c r="B20" s="8" t="s">
        <v>24</v>
      </c>
      <c r="C20" s="8" t="str">
        <f>LEFT(B20, E20-1)</f>
        <v>Debbie</v>
      </c>
      <c r="D20" s="8" t="str">
        <f>RIGHT(B20, F20-E20)</f>
        <v>Koop</v>
      </c>
      <c r="E20" s="8">
        <f>FIND(" ",B20)</f>
        <v>7</v>
      </c>
      <c r="F20" s="8">
        <f>LEN(B20)</f>
        <v>11</v>
      </c>
      <c r="G20" s="7">
        <v>25</v>
      </c>
      <c r="H20" s="8" t="s">
        <v>58</v>
      </c>
      <c r="I20" s="29"/>
      <c r="J20" s="29"/>
      <c r="K20" s="21" t="s">
        <v>176</v>
      </c>
      <c r="L20" s="2" t="s">
        <v>150</v>
      </c>
      <c r="M20" s="2" t="s">
        <v>150</v>
      </c>
      <c r="N20" s="2" t="s">
        <v>150</v>
      </c>
      <c r="O20" s="2" t="s">
        <v>150</v>
      </c>
    </row>
    <row r="21" spans="1:15" x14ac:dyDescent="0.25">
      <c r="A21">
        <v>3</v>
      </c>
      <c r="B21" s="8" t="s">
        <v>61</v>
      </c>
      <c r="C21" s="8" t="str">
        <f>LEFT(B21, E21-1)</f>
        <v>Isaac</v>
      </c>
      <c r="D21" s="8" t="str">
        <f>RIGHT(B21, F21-E21)</f>
        <v>Ginsberg</v>
      </c>
      <c r="E21" s="8">
        <f>FIND(" ",B21)</f>
        <v>6</v>
      </c>
      <c r="F21" s="8">
        <f>LEN(B21)</f>
        <v>14</v>
      </c>
      <c r="G21" s="7">
        <v>5</v>
      </c>
      <c r="H21" s="8" t="s">
        <v>56</v>
      </c>
      <c r="I21" s="29"/>
      <c r="J21" s="29"/>
      <c r="K21" s="21" t="s">
        <v>176</v>
      </c>
      <c r="L21" s="2" t="s">
        <v>150</v>
      </c>
      <c r="M21" s="2" t="s">
        <v>150</v>
      </c>
      <c r="N21" s="2" t="s">
        <v>150</v>
      </c>
      <c r="O21" s="2" t="s">
        <v>150</v>
      </c>
    </row>
    <row r="22" spans="1:15" x14ac:dyDescent="0.25">
      <c r="A22">
        <v>4</v>
      </c>
      <c r="B22" s="8" t="s">
        <v>87</v>
      </c>
      <c r="C22" s="8" t="str">
        <f>LEFT(B22, E22-1)</f>
        <v>Jonathan</v>
      </c>
      <c r="D22" s="8" t="str">
        <f>RIGHT(B22, F22-E22)</f>
        <v>Anders</v>
      </c>
      <c r="E22" s="8">
        <f>FIND(" ",B22)</f>
        <v>9</v>
      </c>
      <c r="F22" s="8">
        <f>LEN(B22)</f>
        <v>15</v>
      </c>
      <c r="G22" s="7">
        <v>5</v>
      </c>
      <c r="H22" s="8"/>
      <c r="I22" s="29"/>
      <c r="J22" s="29"/>
      <c r="K22" s="21" t="s">
        <v>176</v>
      </c>
      <c r="L22" s="2" t="s">
        <v>150</v>
      </c>
      <c r="M22" s="2" t="s">
        <v>150</v>
      </c>
      <c r="N22" s="2" t="s">
        <v>150</v>
      </c>
      <c r="O22" s="2" t="s">
        <v>150</v>
      </c>
    </row>
    <row r="23" spans="1:15" s="12" customFormat="1" x14ac:dyDescent="0.25">
      <c r="B23" s="9" t="s">
        <v>151</v>
      </c>
      <c r="C23" s="9"/>
      <c r="D23" s="9"/>
      <c r="E23" s="9"/>
      <c r="F23" s="9"/>
      <c r="G23" s="11"/>
      <c r="H23" s="9"/>
      <c r="I23" s="30"/>
      <c r="J23" s="30"/>
      <c r="K23" s="21"/>
    </row>
    <row r="24" spans="1:15" x14ac:dyDescent="0.25">
      <c r="A24" s="12">
        <v>5</v>
      </c>
      <c r="B24" s="8" t="s">
        <v>17</v>
      </c>
      <c r="C24" s="8" t="str">
        <f t="shared" ref="C24:C39" si="4">LEFT(B24, E24-1)</f>
        <v>Adam</v>
      </c>
      <c r="D24" s="8" t="str">
        <f t="shared" ref="D24:D39" si="5">RIGHT(B24, F24-E24)</f>
        <v>Harmon</v>
      </c>
      <c r="E24" s="8">
        <f t="shared" ref="E24:E39" si="6">FIND(" ",B24)</f>
        <v>5</v>
      </c>
      <c r="F24" s="8">
        <f t="shared" ref="F24:F39" si="7">LEN(B24)</f>
        <v>11</v>
      </c>
      <c r="G24" s="7">
        <v>20</v>
      </c>
      <c r="H24" s="8" t="s">
        <v>63</v>
      </c>
      <c r="I24" s="29"/>
      <c r="J24" s="29" t="s">
        <v>186</v>
      </c>
      <c r="K24" s="21"/>
      <c r="N24" s="2" t="s">
        <v>150</v>
      </c>
      <c r="O24" s="2" t="s">
        <v>150</v>
      </c>
    </row>
    <row r="25" spans="1:15" x14ac:dyDescent="0.25">
      <c r="A25" s="12">
        <v>6</v>
      </c>
      <c r="B25" s="8" t="s">
        <v>93</v>
      </c>
      <c r="C25" s="8" t="str">
        <f t="shared" si="4"/>
        <v>Austin</v>
      </c>
      <c r="D25" s="8" t="str">
        <f t="shared" si="5"/>
        <v>Kringle</v>
      </c>
      <c r="E25" s="8">
        <f t="shared" si="6"/>
        <v>7</v>
      </c>
      <c r="F25" s="8">
        <f t="shared" si="7"/>
        <v>14</v>
      </c>
      <c r="G25" s="7">
        <v>20</v>
      </c>
      <c r="H25" s="8" t="s">
        <v>65</v>
      </c>
      <c r="I25" s="29"/>
      <c r="J25" s="29" t="s">
        <v>195</v>
      </c>
      <c r="K25" s="21"/>
      <c r="N25" s="2" t="s">
        <v>150</v>
      </c>
      <c r="O25" s="2" t="s">
        <v>150</v>
      </c>
    </row>
    <row r="26" spans="1:15" x14ac:dyDescent="0.25">
      <c r="A26" s="12">
        <v>7</v>
      </c>
      <c r="B26" s="8" t="s">
        <v>52</v>
      </c>
      <c r="C26" s="8" t="str">
        <f t="shared" si="4"/>
        <v>Clark</v>
      </c>
      <c r="D26" s="8" t="str">
        <f t="shared" si="5"/>
        <v>Kimball</v>
      </c>
      <c r="E26" s="8">
        <f t="shared" si="6"/>
        <v>6</v>
      </c>
      <c r="F26" s="8">
        <f t="shared" si="7"/>
        <v>13</v>
      </c>
      <c r="G26" s="7">
        <v>20</v>
      </c>
      <c r="H26" s="8" t="s">
        <v>56</v>
      </c>
      <c r="I26" s="29"/>
      <c r="J26" s="29" t="s">
        <v>183</v>
      </c>
      <c r="K26" s="21"/>
      <c r="N26" s="2" t="s">
        <v>150</v>
      </c>
      <c r="O26" s="2" t="s">
        <v>150</v>
      </c>
    </row>
    <row r="27" spans="1:15" x14ac:dyDescent="0.25">
      <c r="A27" s="12">
        <v>8</v>
      </c>
      <c r="B27" s="8" t="s">
        <v>97</v>
      </c>
      <c r="C27" s="8" t="str">
        <f t="shared" si="4"/>
        <v>DanielandMeagan</v>
      </c>
      <c r="D27" s="8" t="str">
        <f t="shared" si="5"/>
        <v>Wanschura</v>
      </c>
      <c r="E27" s="8">
        <f t="shared" si="6"/>
        <v>16</v>
      </c>
      <c r="F27" s="8">
        <f t="shared" si="7"/>
        <v>25</v>
      </c>
      <c r="G27" s="7">
        <v>20</v>
      </c>
      <c r="H27" s="8"/>
      <c r="I27" s="29"/>
      <c r="J27" s="29" t="s">
        <v>185</v>
      </c>
      <c r="K27" s="21"/>
      <c r="N27" s="2" t="s">
        <v>150</v>
      </c>
      <c r="O27" s="2" t="s">
        <v>150</v>
      </c>
    </row>
    <row r="28" spans="1:15" x14ac:dyDescent="0.25">
      <c r="A28" s="12">
        <v>9</v>
      </c>
      <c r="B28" s="8" t="s">
        <v>100</v>
      </c>
      <c r="C28" s="8" t="str">
        <f t="shared" si="4"/>
        <v>Eric</v>
      </c>
      <c r="D28" s="8" t="str">
        <f t="shared" si="5"/>
        <v>Darling</v>
      </c>
      <c r="E28" s="8">
        <f t="shared" si="6"/>
        <v>5</v>
      </c>
      <c r="F28" s="8">
        <f t="shared" si="7"/>
        <v>12</v>
      </c>
      <c r="G28" s="7">
        <v>20</v>
      </c>
      <c r="H28" s="8"/>
      <c r="I28" s="29"/>
      <c r="J28" s="29" t="s">
        <v>185</v>
      </c>
      <c r="K28" s="21"/>
      <c r="N28" s="2" t="s">
        <v>150</v>
      </c>
      <c r="O28" s="2" t="s">
        <v>150</v>
      </c>
    </row>
    <row r="29" spans="1:15" x14ac:dyDescent="0.25">
      <c r="A29" s="12">
        <v>10</v>
      </c>
      <c r="B29" s="8" t="s">
        <v>67</v>
      </c>
      <c r="C29" s="8" t="str">
        <f t="shared" si="4"/>
        <v>John</v>
      </c>
      <c r="D29" s="8" t="str">
        <f t="shared" si="5"/>
        <v>Nieland</v>
      </c>
      <c r="E29" s="8">
        <f t="shared" si="6"/>
        <v>5</v>
      </c>
      <c r="F29" s="8">
        <f t="shared" si="7"/>
        <v>12</v>
      </c>
      <c r="G29" s="7">
        <v>20</v>
      </c>
      <c r="H29" s="8" t="s">
        <v>108</v>
      </c>
      <c r="I29" s="29"/>
      <c r="J29" s="29" t="s">
        <v>184</v>
      </c>
      <c r="K29" s="21"/>
      <c r="N29" s="2" t="s">
        <v>150</v>
      </c>
      <c r="O29" s="2" t="s">
        <v>150</v>
      </c>
    </row>
    <row r="30" spans="1:15" x14ac:dyDescent="0.25">
      <c r="A30" s="12">
        <v>11</v>
      </c>
      <c r="B30" s="8" t="s">
        <v>26</v>
      </c>
      <c r="C30" s="8" t="str">
        <f t="shared" si="4"/>
        <v>Lucia</v>
      </c>
      <c r="D30" s="8" t="str">
        <f t="shared" si="5"/>
        <v>Yess</v>
      </c>
      <c r="E30" s="8">
        <f t="shared" si="6"/>
        <v>6</v>
      </c>
      <c r="F30" s="8">
        <f t="shared" si="7"/>
        <v>10</v>
      </c>
      <c r="G30" s="7">
        <v>20</v>
      </c>
      <c r="H30" s="8" t="s">
        <v>57</v>
      </c>
      <c r="I30" s="29"/>
      <c r="J30" s="29" t="s">
        <v>187</v>
      </c>
      <c r="K30" s="21"/>
      <c r="N30" s="2" t="s">
        <v>150</v>
      </c>
      <c r="O30" s="2" t="s">
        <v>150</v>
      </c>
    </row>
    <row r="31" spans="1:15" x14ac:dyDescent="0.25">
      <c r="A31" s="12">
        <v>12</v>
      </c>
      <c r="B31" s="8" t="s">
        <v>72</v>
      </c>
      <c r="C31" s="8" t="str">
        <f t="shared" si="4"/>
        <v>Phil</v>
      </c>
      <c r="D31" s="8" t="str">
        <f t="shared" si="5"/>
        <v>Ensminger</v>
      </c>
      <c r="E31" s="8">
        <f t="shared" si="6"/>
        <v>5</v>
      </c>
      <c r="F31" s="8">
        <f t="shared" si="7"/>
        <v>14</v>
      </c>
      <c r="G31" s="7">
        <v>21</v>
      </c>
      <c r="H31" s="8" t="s">
        <v>80</v>
      </c>
      <c r="I31" s="29"/>
      <c r="J31" s="29" t="s">
        <v>195</v>
      </c>
      <c r="K31" s="21"/>
      <c r="N31" s="2" t="s">
        <v>150</v>
      </c>
      <c r="O31" s="2" t="s">
        <v>150</v>
      </c>
    </row>
    <row r="32" spans="1:15" x14ac:dyDescent="0.25">
      <c r="A32" s="12">
        <v>13</v>
      </c>
      <c r="B32" s="8" t="s">
        <v>94</v>
      </c>
      <c r="C32" s="8" t="str">
        <f t="shared" si="4"/>
        <v>Rebecca</v>
      </c>
      <c r="D32" s="8" t="str">
        <f t="shared" si="5"/>
        <v>Howard</v>
      </c>
      <c r="E32" s="8">
        <f t="shared" si="6"/>
        <v>8</v>
      </c>
      <c r="F32" s="8">
        <f t="shared" si="7"/>
        <v>14</v>
      </c>
      <c r="G32" s="7">
        <v>20</v>
      </c>
      <c r="H32" s="8"/>
      <c r="I32" s="29"/>
      <c r="J32" s="29" t="s">
        <v>185</v>
      </c>
      <c r="K32" s="21"/>
      <c r="N32" s="2" t="s">
        <v>150</v>
      </c>
      <c r="O32" s="2" t="s">
        <v>150</v>
      </c>
    </row>
    <row r="33" spans="1:15" x14ac:dyDescent="0.25">
      <c r="A33" s="12">
        <v>14</v>
      </c>
      <c r="B33" s="8" t="s">
        <v>16</v>
      </c>
      <c r="C33" s="8" t="str">
        <f t="shared" si="4"/>
        <v>Reid</v>
      </c>
      <c r="D33" s="8" t="str">
        <f t="shared" si="5"/>
        <v>Marble</v>
      </c>
      <c r="E33" s="8">
        <f t="shared" si="6"/>
        <v>5</v>
      </c>
      <c r="F33" s="8">
        <f t="shared" si="7"/>
        <v>11</v>
      </c>
      <c r="G33" s="7">
        <v>20</v>
      </c>
      <c r="H33" s="8" t="s">
        <v>57</v>
      </c>
      <c r="I33" s="29"/>
      <c r="J33" s="29" t="s">
        <v>186</v>
      </c>
      <c r="K33" s="21"/>
      <c r="N33" s="2" t="s">
        <v>150</v>
      </c>
      <c r="O33" s="2" t="s">
        <v>150</v>
      </c>
    </row>
    <row r="34" spans="1:15" x14ac:dyDescent="0.25">
      <c r="A34" s="12">
        <v>15</v>
      </c>
      <c r="B34" s="8" t="s">
        <v>129</v>
      </c>
      <c r="C34" s="8" t="str">
        <f t="shared" si="4"/>
        <v>Rick</v>
      </c>
      <c r="D34" s="8" t="str">
        <f t="shared" si="5"/>
        <v>Rydeen</v>
      </c>
      <c r="E34" s="8">
        <f t="shared" si="6"/>
        <v>5</v>
      </c>
      <c r="F34" s="8">
        <f t="shared" si="7"/>
        <v>11</v>
      </c>
      <c r="G34" s="7">
        <v>20</v>
      </c>
      <c r="H34" s="8"/>
      <c r="I34" s="29"/>
      <c r="J34" s="29" t="s">
        <v>185</v>
      </c>
      <c r="K34" s="21"/>
      <c r="N34" s="2" t="s">
        <v>150</v>
      </c>
      <c r="O34" s="2" t="s">
        <v>150</v>
      </c>
    </row>
    <row r="35" spans="1:15" x14ac:dyDescent="0.25">
      <c r="A35" s="12">
        <v>16</v>
      </c>
      <c r="B35" s="8" t="s">
        <v>144</v>
      </c>
      <c r="C35" s="8" t="str">
        <f t="shared" si="4"/>
        <v>Robert</v>
      </c>
      <c r="D35" s="8" t="str">
        <f t="shared" si="5"/>
        <v>Hagmaier</v>
      </c>
      <c r="E35" s="8">
        <f t="shared" si="6"/>
        <v>7</v>
      </c>
      <c r="F35" s="8">
        <f t="shared" si="7"/>
        <v>15</v>
      </c>
      <c r="G35" s="7">
        <v>20</v>
      </c>
      <c r="H35" s="8"/>
      <c r="I35" s="29"/>
      <c r="J35" s="29" t="s">
        <v>185</v>
      </c>
      <c r="K35" s="21"/>
      <c r="N35" s="2" t="s">
        <v>150</v>
      </c>
      <c r="O35" s="2" t="s">
        <v>150</v>
      </c>
    </row>
    <row r="36" spans="1:15" x14ac:dyDescent="0.25">
      <c r="A36" s="12">
        <v>17</v>
      </c>
      <c r="B36" s="8" t="s">
        <v>79</v>
      </c>
      <c r="C36" s="8" t="str">
        <f t="shared" si="4"/>
        <v>Sara</v>
      </c>
      <c r="D36" s="8" t="str">
        <f t="shared" si="5"/>
        <v>Russett</v>
      </c>
      <c r="E36" s="8">
        <f t="shared" si="6"/>
        <v>5</v>
      </c>
      <c r="F36" s="8">
        <f t="shared" si="7"/>
        <v>12</v>
      </c>
      <c r="G36" s="7">
        <v>20</v>
      </c>
      <c r="H36" s="8" t="s">
        <v>82</v>
      </c>
      <c r="I36" s="29"/>
      <c r="J36" s="29" t="s">
        <v>184</v>
      </c>
      <c r="K36" s="21"/>
      <c r="N36" s="2" t="s">
        <v>150</v>
      </c>
      <c r="O36" s="2" t="s">
        <v>150</v>
      </c>
    </row>
    <row r="37" spans="1:15" x14ac:dyDescent="0.25">
      <c r="A37" s="12">
        <v>18</v>
      </c>
      <c r="B37" s="8" t="s">
        <v>48</v>
      </c>
      <c r="C37" s="8" t="str">
        <f t="shared" si="4"/>
        <v/>
      </c>
      <c r="D37" s="8" t="str">
        <f t="shared" si="5"/>
        <v/>
      </c>
      <c r="E37" s="8">
        <f t="shared" si="6"/>
        <v>1</v>
      </c>
      <c r="F37" s="8">
        <f t="shared" si="7"/>
        <v>1</v>
      </c>
      <c r="G37" s="7">
        <v>20</v>
      </c>
      <c r="H37" s="8"/>
      <c r="I37" s="29"/>
      <c r="J37" s="29" t="s">
        <v>184</v>
      </c>
      <c r="K37" s="21"/>
      <c r="N37" s="2" t="s">
        <v>150</v>
      </c>
      <c r="O37" s="2" t="s">
        <v>150</v>
      </c>
    </row>
    <row r="38" spans="1:15" x14ac:dyDescent="0.25">
      <c r="A38" s="12">
        <v>19</v>
      </c>
      <c r="B38" s="8" t="s">
        <v>133</v>
      </c>
      <c r="C38" s="8" t="str">
        <f t="shared" si="4"/>
        <v>Sheldon</v>
      </c>
      <c r="D38" s="8" t="str">
        <f t="shared" si="5"/>
        <v>Sonido</v>
      </c>
      <c r="E38" s="8">
        <f t="shared" si="6"/>
        <v>8</v>
      </c>
      <c r="F38" s="8">
        <f t="shared" si="7"/>
        <v>14</v>
      </c>
      <c r="G38" s="7">
        <v>20</v>
      </c>
      <c r="H38" s="8"/>
      <c r="I38" s="29"/>
      <c r="J38" s="29" t="s">
        <v>185</v>
      </c>
      <c r="K38" s="21"/>
      <c r="N38" s="2" t="s">
        <v>150</v>
      </c>
      <c r="O38" s="2" t="s">
        <v>150</v>
      </c>
    </row>
    <row r="39" spans="1:15" x14ac:dyDescent="0.25">
      <c r="A39" s="12">
        <v>20</v>
      </c>
      <c r="B39" s="8" t="s">
        <v>70</v>
      </c>
      <c r="C39" s="8" t="str">
        <f t="shared" si="4"/>
        <v>Tony</v>
      </c>
      <c r="D39" s="8" t="str">
        <f t="shared" si="5"/>
        <v>Holte</v>
      </c>
      <c r="E39" s="8">
        <f t="shared" si="6"/>
        <v>5</v>
      </c>
      <c r="F39" s="8">
        <f t="shared" si="7"/>
        <v>10</v>
      </c>
      <c r="G39" s="7">
        <v>20</v>
      </c>
      <c r="H39" s="8"/>
      <c r="I39" s="29"/>
      <c r="J39" s="29" t="s">
        <v>185</v>
      </c>
      <c r="K39" s="21"/>
      <c r="N39" s="2" t="s">
        <v>150</v>
      </c>
      <c r="O39" s="2" t="s">
        <v>150</v>
      </c>
    </row>
    <row r="40" spans="1:15" s="12" customFormat="1" x14ac:dyDescent="0.25">
      <c r="B40" s="9" t="s">
        <v>152</v>
      </c>
      <c r="C40" s="9"/>
      <c r="D40" s="9"/>
      <c r="E40" s="9"/>
      <c r="F40" s="9"/>
      <c r="G40" s="11"/>
      <c r="H40" s="9"/>
      <c r="I40" s="30"/>
      <c r="J40" s="30"/>
      <c r="K40" s="21"/>
    </row>
    <row r="41" spans="1:15" x14ac:dyDescent="0.25">
      <c r="A41" s="12">
        <v>21</v>
      </c>
      <c r="B41" s="8" t="s">
        <v>88</v>
      </c>
      <c r="C41" s="8" t="str">
        <f t="shared" ref="C41:C49" si="8">LEFT(B41, E41-1)</f>
        <v>Adam</v>
      </c>
      <c r="D41" s="8" t="str">
        <f t="shared" ref="D41:D49" si="9">RIGHT(B41, F41-E41)</f>
        <v>Wold</v>
      </c>
      <c r="E41" s="8">
        <f t="shared" ref="E41:E49" si="10">FIND(" ",B41)</f>
        <v>5</v>
      </c>
      <c r="F41" s="8">
        <f t="shared" ref="F41:F49" si="11">LEN(B41)</f>
        <v>9</v>
      </c>
      <c r="G41" s="7">
        <v>30</v>
      </c>
      <c r="H41" s="8" t="s">
        <v>65</v>
      </c>
      <c r="I41" s="29"/>
      <c r="J41" s="29" t="s">
        <v>186</v>
      </c>
      <c r="K41" s="21"/>
      <c r="N41" s="16" t="s">
        <v>150</v>
      </c>
      <c r="O41" s="16" t="s">
        <v>150</v>
      </c>
    </row>
    <row r="42" spans="1:15" x14ac:dyDescent="0.25">
      <c r="A42" s="12">
        <v>22</v>
      </c>
      <c r="B42" s="8" t="s">
        <v>12</v>
      </c>
      <c r="C42" s="8" t="str">
        <f t="shared" si="8"/>
        <v>Alex</v>
      </c>
      <c r="D42" s="8" t="str">
        <f t="shared" si="9"/>
        <v>Hambrock</v>
      </c>
      <c r="E42" s="8">
        <f t="shared" si="10"/>
        <v>5</v>
      </c>
      <c r="F42" s="8">
        <f t="shared" si="11"/>
        <v>13</v>
      </c>
      <c r="G42" s="7">
        <v>35</v>
      </c>
      <c r="H42" s="8" t="s">
        <v>63</v>
      </c>
      <c r="I42" s="29"/>
      <c r="J42" s="29" t="s">
        <v>186</v>
      </c>
      <c r="K42" s="21"/>
      <c r="N42" s="16" t="s">
        <v>150</v>
      </c>
      <c r="O42" s="16" t="s">
        <v>150</v>
      </c>
    </row>
    <row r="43" spans="1:15" x14ac:dyDescent="0.25">
      <c r="A43" s="12">
        <v>23</v>
      </c>
      <c r="B43" s="8" t="s">
        <v>6</v>
      </c>
      <c r="C43" s="8" t="str">
        <f t="shared" si="8"/>
        <v>Andy</v>
      </c>
      <c r="D43" s="8" t="str">
        <f t="shared" si="9"/>
        <v>Chow</v>
      </c>
      <c r="E43" s="8">
        <f t="shared" si="10"/>
        <v>5</v>
      </c>
      <c r="F43" s="8">
        <f t="shared" si="11"/>
        <v>9</v>
      </c>
      <c r="G43" s="7">
        <v>30</v>
      </c>
      <c r="H43" s="8" t="s">
        <v>63</v>
      </c>
      <c r="I43" s="29"/>
      <c r="J43" s="29" t="s">
        <v>186</v>
      </c>
      <c r="K43" s="21"/>
      <c r="N43" s="16" t="s">
        <v>150</v>
      </c>
      <c r="O43" s="16" t="s">
        <v>150</v>
      </c>
    </row>
    <row r="44" spans="1:15" x14ac:dyDescent="0.25">
      <c r="A44" s="12">
        <v>24</v>
      </c>
      <c r="B44" s="8" t="s">
        <v>141</v>
      </c>
      <c r="C44" s="8" t="str">
        <f t="shared" si="8"/>
        <v>Collin</v>
      </c>
      <c r="D44" s="8" t="str">
        <f t="shared" si="9"/>
        <v>Forsyth</v>
      </c>
      <c r="E44" s="8">
        <f t="shared" si="10"/>
        <v>7</v>
      </c>
      <c r="F44" s="8">
        <f t="shared" si="11"/>
        <v>14</v>
      </c>
      <c r="G44" s="7">
        <v>30</v>
      </c>
      <c r="H44" s="8"/>
      <c r="I44" s="29"/>
      <c r="J44" s="29" t="s">
        <v>183</v>
      </c>
      <c r="K44" s="21"/>
      <c r="N44" s="16" t="s">
        <v>150</v>
      </c>
      <c r="O44" s="16" t="s">
        <v>150</v>
      </c>
    </row>
    <row r="45" spans="1:15" x14ac:dyDescent="0.25">
      <c r="A45" s="12">
        <v>25</v>
      </c>
      <c r="B45" s="8" t="s">
        <v>7</v>
      </c>
      <c r="C45" s="8" t="str">
        <f t="shared" si="8"/>
        <v>Dave</v>
      </c>
      <c r="D45" s="8" t="str">
        <f t="shared" si="9"/>
        <v>Burnham</v>
      </c>
      <c r="E45" s="8">
        <f t="shared" si="10"/>
        <v>5</v>
      </c>
      <c r="F45" s="8">
        <f t="shared" si="11"/>
        <v>12</v>
      </c>
      <c r="G45" s="7">
        <v>30</v>
      </c>
      <c r="H45" s="8" t="s">
        <v>63</v>
      </c>
      <c r="I45" s="29"/>
      <c r="J45" s="29" t="s">
        <v>186</v>
      </c>
      <c r="K45" s="21"/>
      <c r="N45" s="16" t="s">
        <v>150</v>
      </c>
      <c r="O45" s="16" t="s">
        <v>150</v>
      </c>
    </row>
    <row r="46" spans="1:15" x14ac:dyDescent="0.25">
      <c r="A46" s="12">
        <v>26</v>
      </c>
      <c r="B46" s="8" t="s">
        <v>14</v>
      </c>
      <c r="C46" s="8" t="str">
        <f t="shared" si="8"/>
        <v>Fredrick</v>
      </c>
      <c r="D46" s="8" t="str">
        <f t="shared" si="9"/>
        <v>Haugen</v>
      </c>
      <c r="E46" s="8">
        <f t="shared" si="10"/>
        <v>9</v>
      </c>
      <c r="F46" s="8">
        <f t="shared" si="11"/>
        <v>15</v>
      </c>
      <c r="G46" s="7">
        <v>30</v>
      </c>
      <c r="H46" s="8" t="s">
        <v>58</v>
      </c>
      <c r="I46" s="29"/>
      <c r="J46" s="29" t="s">
        <v>183</v>
      </c>
      <c r="K46" s="21"/>
      <c r="N46" s="16" t="s">
        <v>150</v>
      </c>
      <c r="O46" s="16" t="s">
        <v>150</v>
      </c>
    </row>
    <row r="47" spans="1:15" x14ac:dyDescent="0.25">
      <c r="A47" s="12">
        <v>27</v>
      </c>
      <c r="B47" s="8" t="s">
        <v>21</v>
      </c>
      <c r="C47" s="8" t="str">
        <f t="shared" si="8"/>
        <v>Jeff</v>
      </c>
      <c r="D47" s="8" t="str">
        <f t="shared" si="9"/>
        <v>Parenteau</v>
      </c>
      <c r="E47" s="8">
        <f t="shared" si="10"/>
        <v>5</v>
      </c>
      <c r="F47" s="8">
        <f t="shared" si="11"/>
        <v>14</v>
      </c>
      <c r="G47" s="7">
        <v>30</v>
      </c>
      <c r="H47" s="8" t="s">
        <v>58</v>
      </c>
      <c r="I47" s="29"/>
      <c r="J47" s="29" t="s">
        <v>185</v>
      </c>
      <c r="K47" s="21"/>
      <c r="N47" s="16" t="s">
        <v>150</v>
      </c>
      <c r="O47" s="16" t="s">
        <v>150</v>
      </c>
    </row>
    <row r="48" spans="1:15" x14ac:dyDescent="0.25">
      <c r="A48" s="12">
        <v>28</v>
      </c>
      <c r="B48" s="8" t="s">
        <v>13</v>
      </c>
      <c r="C48" s="8" t="str">
        <f t="shared" si="8"/>
        <v>John</v>
      </c>
      <c r="D48" s="8" t="str">
        <f t="shared" si="9"/>
        <v>Scully</v>
      </c>
      <c r="E48" s="8">
        <f t="shared" si="10"/>
        <v>5</v>
      </c>
      <c r="F48" s="8">
        <f t="shared" si="11"/>
        <v>11</v>
      </c>
      <c r="G48" s="7">
        <v>30</v>
      </c>
      <c r="H48" s="8" t="s">
        <v>65</v>
      </c>
      <c r="I48" s="29"/>
      <c r="J48" s="29" t="s">
        <v>187</v>
      </c>
      <c r="K48" s="21"/>
      <c r="N48" s="16" t="s">
        <v>150</v>
      </c>
      <c r="O48" s="16" t="s">
        <v>150</v>
      </c>
    </row>
    <row r="49" spans="1:15" s="12" customFormat="1" x14ac:dyDescent="0.25">
      <c r="A49" s="12">
        <v>29</v>
      </c>
      <c r="B49" s="8" t="s">
        <v>96</v>
      </c>
      <c r="C49" s="8" t="str">
        <f t="shared" si="8"/>
        <v>Kevin</v>
      </c>
      <c r="D49" s="8" t="str">
        <f t="shared" si="9"/>
        <v>Hurbanis</v>
      </c>
      <c r="E49" s="8">
        <f t="shared" si="10"/>
        <v>6</v>
      </c>
      <c r="F49" s="8">
        <f t="shared" si="11"/>
        <v>14</v>
      </c>
      <c r="G49" s="7">
        <v>30</v>
      </c>
      <c r="H49" s="8"/>
      <c r="I49" s="29"/>
      <c r="J49" s="29" t="s">
        <v>185</v>
      </c>
      <c r="K49" s="21"/>
      <c r="N49" s="16" t="s">
        <v>150</v>
      </c>
      <c r="O49" s="16" t="s">
        <v>150</v>
      </c>
    </row>
    <row r="50" spans="1:15" x14ac:dyDescent="0.25">
      <c r="B50" s="9" t="s">
        <v>153</v>
      </c>
      <c r="C50" s="9"/>
      <c r="D50" s="9"/>
      <c r="E50" s="9"/>
      <c r="F50" s="9"/>
      <c r="G50" s="11"/>
      <c r="H50" s="9"/>
      <c r="I50" s="30"/>
      <c r="J50" s="30"/>
      <c r="K50" s="21"/>
    </row>
    <row r="51" spans="1:15" x14ac:dyDescent="0.25">
      <c r="A51">
        <v>30</v>
      </c>
      <c r="B51" s="8" t="s">
        <v>105</v>
      </c>
      <c r="C51" s="8" t="str">
        <f t="shared" ref="C51:C58" si="12">LEFT(B51, E51-1)</f>
        <v>David</v>
      </c>
      <c r="D51" s="8" t="str">
        <f t="shared" ref="D51:D58" si="13">RIGHT(B51, F51-E51)</f>
        <v>Salas</v>
      </c>
      <c r="E51" s="8">
        <f t="shared" ref="E51:E58" si="14">FIND(" ",B51)</f>
        <v>6</v>
      </c>
      <c r="F51" s="8">
        <f t="shared" ref="F51:F58" si="15">LEN(B51)</f>
        <v>11</v>
      </c>
      <c r="G51" s="7">
        <v>35</v>
      </c>
      <c r="H51" s="8"/>
      <c r="I51" s="29"/>
      <c r="J51" s="29" t="s">
        <v>217</v>
      </c>
      <c r="K51" s="21"/>
      <c r="M51" s="16" t="s">
        <v>150</v>
      </c>
      <c r="N51" s="16" t="s">
        <v>150</v>
      </c>
      <c r="O51" s="16" t="s">
        <v>150</v>
      </c>
    </row>
    <row r="52" spans="1:15" x14ac:dyDescent="0.25">
      <c r="A52">
        <v>31</v>
      </c>
      <c r="B52" s="8" t="s">
        <v>54</v>
      </c>
      <c r="C52" s="8" t="str">
        <f t="shared" si="12"/>
        <v>Dennis</v>
      </c>
      <c r="D52" s="8" t="str">
        <f t="shared" si="13"/>
        <v>Palma</v>
      </c>
      <c r="E52" s="8">
        <f t="shared" si="14"/>
        <v>7</v>
      </c>
      <c r="F52" s="8">
        <f t="shared" si="15"/>
        <v>12</v>
      </c>
      <c r="G52" s="7">
        <v>35</v>
      </c>
      <c r="H52" s="8" t="s">
        <v>58</v>
      </c>
      <c r="I52" s="29"/>
      <c r="J52" s="29" t="s">
        <v>185</v>
      </c>
      <c r="K52" s="21"/>
      <c r="M52" s="16" t="s">
        <v>150</v>
      </c>
      <c r="N52" s="16" t="s">
        <v>150</v>
      </c>
      <c r="O52" s="16" t="s">
        <v>150</v>
      </c>
    </row>
    <row r="53" spans="1:15" x14ac:dyDescent="0.25">
      <c r="A53">
        <v>32</v>
      </c>
      <c r="B53" s="8" t="s">
        <v>131</v>
      </c>
      <c r="C53" s="8" t="str">
        <f t="shared" si="12"/>
        <v>Holden</v>
      </c>
      <c r="D53" s="8" t="str">
        <f t="shared" si="13"/>
        <v>Chang</v>
      </c>
      <c r="E53" s="8">
        <f t="shared" si="14"/>
        <v>7</v>
      </c>
      <c r="F53" s="8">
        <f t="shared" si="15"/>
        <v>12</v>
      </c>
      <c r="G53" s="7">
        <v>35</v>
      </c>
      <c r="H53" s="8"/>
      <c r="I53" s="29"/>
      <c r="J53" s="29" t="s">
        <v>216</v>
      </c>
      <c r="K53" s="21"/>
      <c r="M53" s="16" t="s">
        <v>150</v>
      </c>
      <c r="N53" s="16" t="s">
        <v>150</v>
      </c>
      <c r="O53" s="16" t="s">
        <v>150</v>
      </c>
    </row>
    <row r="54" spans="1:15" x14ac:dyDescent="0.25">
      <c r="A54">
        <v>33</v>
      </c>
      <c r="B54" s="8" t="s">
        <v>103</v>
      </c>
      <c r="C54" s="8" t="str">
        <f t="shared" si="12"/>
        <v>John</v>
      </c>
      <c r="D54" s="8" t="str">
        <f t="shared" si="13"/>
        <v>Gann</v>
      </c>
      <c r="E54" s="8">
        <f t="shared" si="14"/>
        <v>5</v>
      </c>
      <c r="F54" s="8">
        <f t="shared" si="15"/>
        <v>9</v>
      </c>
      <c r="G54" s="7">
        <v>35</v>
      </c>
      <c r="H54" s="8" t="s">
        <v>107</v>
      </c>
      <c r="I54" s="29"/>
      <c r="J54" s="29" t="s">
        <v>183</v>
      </c>
      <c r="K54" s="21"/>
      <c r="M54" s="16" t="s">
        <v>150</v>
      </c>
      <c r="N54" s="16" t="s">
        <v>150</v>
      </c>
      <c r="O54" s="16" t="s">
        <v>150</v>
      </c>
    </row>
    <row r="55" spans="1:15" x14ac:dyDescent="0.25">
      <c r="A55">
        <v>34</v>
      </c>
      <c r="B55" s="8" t="s">
        <v>142</v>
      </c>
      <c r="C55" s="8" t="str">
        <f t="shared" si="12"/>
        <v>John</v>
      </c>
      <c r="D55" s="8" t="str">
        <f t="shared" si="13"/>
        <v>McGowan</v>
      </c>
      <c r="E55" s="8">
        <f t="shared" si="14"/>
        <v>5</v>
      </c>
      <c r="F55" s="8">
        <f t="shared" si="15"/>
        <v>12</v>
      </c>
      <c r="G55" s="7">
        <v>51</v>
      </c>
      <c r="H55" s="8"/>
      <c r="I55" s="29"/>
      <c r="J55" s="29" t="s">
        <v>215</v>
      </c>
      <c r="K55" s="21"/>
      <c r="M55" s="16" t="s">
        <v>150</v>
      </c>
      <c r="N55" s="16" t="s">
        <v>150</v>
      </c>
      <c r="O55" s="16" t="s">
        <v>150</v>
      </c>
    </row>
    <row r="56" spans="1:15" x14ac:dyDescent="0.25">
      <c r="A56">
        <v>35</v>
      </c>
      <c r="B56" s="8" t="s">
        <v>121</v>
      </c>
      <c r="C56" s="8" t="str">
        <f t="shared" si="12"/>
        <v>Marc</v>
      </c>
      <c r="D56" s="8" t="str">
        <f t="shared" si="13"/>
        <v>Taylor</v>
      </c>
      <c r="E56" s="8">
        <f t="shared" si="14"/>
        <v>5</v>
      </c>
      <c r="F56" s="8">
        <f t="shared" si="15"/>
        <v>11</v>
      </c>
      <c r="G56" s="7">
        <v>35</v>
      </c>
      <c r="H56" s="8"/>
      <c r="I56" s="29"/>
      <c r="J56" s="29" t="s">
        <v>214</v>
      </c>
      <c r="K56" s="21"/>
      <c r="M56" s="16" t="s">
        <v>150</v>
      </c>
      <c r="N56" s="16" t="s">
        <v>150</v>
      </c>
      <c r="O56" s="16" t="s">
        <v>150</v>
      </c>
    </row>
    <row r="57" spans="1:15" x14ac:dyDescent="0.25">
      <c r="A57">
        <v>36</v>
      </c>
      <c r="B57" s="8" t="s">
        <v>101</v>
      </c>
      <c r="C57" s="8" t="str">
        <f t="shared" si="12"/>
        <v>Paul</v>
      </c>
      <c r="D57" s="8" t="str">
        <f t="shared" si="13"/>
        <v>Morley</v>
      </c>
      <c r="E57" s="8">
        <f t="shared" si="14"/>
        <v>5</v>
      </c>
      <c r="F57" s="8">
        <f t="shared" si="15"/>
        <v>11</v>
      </c>
      <c r="G57" s="7">
        <v>35</v>
      </c>
      <c r="H57" s="8" t="s">
        <v>154</v>
      </c>
      <c r="I57" s="29"/>
      <c r="J57" s="29" t="s">
        <v>213</v>
      </c>
      <c r="K57" s="21"/>
      <c r="M57" s="16" t="s">
        <v>150</v>
      </c>
      <c r="N57" s="16" t="s">
        <v>150</v>
      </c>
      <c r="O57" s="16" t="s">
        <v>150</v>
      </c>
    </row>
    <row r="58" spans="1:15" s="12" customFormat="1" x14ac:dyDescent="0.25">
      <c r="A58">
        <v>37</v>
      </c>
      <c r="B58" s="8" t="s">
        <v>124</v>
      </c>
      <c r="C58" s="8" t="str">
        <f t="shared" si="12"/>
        <v>Timothy</v>
      </c>
      <c r="D58" s="8" t="str">
        <f t="shared" si="13"/>
        <v>Brandis</v>
      </c>
      <c r="E58" s="8">
        <f t="shared" si="14"/>
        <v>8</v>
      </c>
      <c r="F58" s="8">
        <f t="shared" si="15"/>
        <v>15</v>
      </c>
      <c r="G58" s="7">
        <v>35</v>
      </c>
      <c r="H58" s="8"/>
      <c r="I58" s="29"/>
      <c r="J58" s="29" t="s">
        <v>218</v>
      </c>
      <c r="K58" s="21"/>
      <c r="M58" s="16" t="s">
        <v>150</v>
      </c>
      <c r="N58" s="16" t="s">
        <v>150</v>
      </c>
      <c r="O58" s="16" t="s">
        <v>150</v>
      </c>
    </row>
    <row r="59" spans="1:15" x14ac:dyDescent="0.25">
      <c r="B59" s="9" t="s">
        <v>155</v>
      </c>
      <c r="C59" s="9"/>
      <c r="D59" s="9"/>
      <c r="E59" s="9"/>
      <c r="F59" s="9"/>
      <c r="G59" s="11"/>
      <c r="H59" s="9"/>
      <c r="I59" s="30"/>
      <c r="J59" s="30"/>
      <c r="K59" s="21"/>
    </row>
    <row r="60" spans="1:15" x14ac:dyDescent="0.25">
      <c r="A60">
        <v>38</v>
      </c>
      <c r="B60" s="8" t="s">
        <v>92</v>
      </c>
      <c r="C60" s="8" t="str">
        <f t="shared" ref="C60:C74" si="16">LEFT(B60, E60-1)</f>
        <v>Adam</v>
      </c>
      <c r="D60" s="8" t="str">
        <f t="shared" ref="D60:D74" si="17">RIGHT(B60, F60-E60)</f>
        <v>Fremeth</v>
      </c>
      <c r="E60" s="8">
        <f t="shared" ref="E60:E74" si="18">FIND(" ",B60)</f>
        <v>5</v>
      </c>
      <c r="F60" s="8">
        <f t="shared" ref="F60:F74" si="19">LEN(B60)</f>
        <v>12</v>
      </c>
      <c r="G60" s="7">
        <v>40</v>
      </c>
      <c r="H60" s="8"/>
      <c r="I60" s="29"/>
      <c r="J60" s="29" t="s">
        <v>212</v>
      </c>
      <c r="K60" s="21"/>
      <c r="N60" s="16" t="s">
        <v>150</v>
      </c>
      <c r="O60" s="16" t="s">
        <v>150</v>
      </c>
    </row>
    <row r="61" spans="1:15" x14ac:dyDescent="0.25">
      <c r="A61">
        <v>39</v>
      </c>
      <c r="B61" s="8" t="s">
        <v>62</v>
      </c>
      <c r="C61" s="8" t="str">
        <f t="shared" si="16"/>
        <v>Allise</v>
      </c>
      <c r="D61" s="8" t="str">
        <f t="shared" si="17"/>
        <v>Wuorio</v>
      </c>
      <c r="E61" s="8">
        <f t="shared" si="18"/>
        <v>7</v>
      </c>
      <c r="F61" s="8">
        <f t="shared" si="19"/>
        <v>13</v>
      </c>
      <c r="G61" s="7">
        <v>50</v>
      </c>
      <c r="H61" s="8" t="s">
        <v>192</v>
      </c>
      <c r="I61" s="29"/>
      <c r="J61" s="29" t="s">
        <v>185</v>
      </c>
      <c r="K61" s="21"/>
      <c r="N61" s="16" t="s">
        <v>150</v>
      </c>
      <c r="O61" s="16" t="s">
        <v>150</v>
      </c>
    </row>
    <row r="62" spans="1:15" x14ac:dyDescent="0.25">
      <c r="A62">
        <v>40</v>
      </c>
      <c r="B62" s="8" t="s">
        <v>89</v>
      </c>
      <c r="C62" s="8" t="str">
        <f t="shared" si="16"/>
        <v>Anna</v>
      </c>
      <c r="D62" s="8" t="str">
        <f t="shared" si="17"/>
        <v>Marco-Cortiel</v>
      </c>
      <c r="E62" s="8">
        <f t="shared" si="18"/>
        <v>5</v>
      </c>
      <c r="F62" s="8">
        <f t="shared" si="19"/>
        <v>18</v>
      </c>
      <c r="G62" s="7">
        <v>40</v>
      </c>
      <c r="H62" s="8"/>
      <c r="I62" s="29"/>
      <c r="J62" s="29" t="s">
        <v>211</v>
      </c>
      <c r="K62" s="21"/>
      <c r="N62" s="16" t="s">
        <v>150</v>
      </c>
      <c r="O62" s="16" t="s">
        <v>150</v>
      </c>
    </row>
    <row r="63" spans="1:15" x14ac:dyDescent="0.25">
      <c r="A63">
        <v>41</v>
      </c>
      <c r="B63" s="8" t="s">
        <v>209</v>
      </c>
      <c r="C63" s="8" t="str">
        <f t="shared" si="16"/>
        <v>Anthony</v>
      </c>
      <c r="D63" s="8" t="str">
        <f t="shared" si="17"/>
        <v>Velte</v>
      </c>
      <c r="E63" s="8">
        <f t="shared" si="18"/>
        <v>8</v>
      </c>
      <c r="F63" s="8">
        <f t="shared" si="19"/>
        <v>13</v>
      </c>
      <c r="G63" s="7">
        <v>40</v>
      </c>
      <c r="H63" s="8" t="s">
        <v>156</v>
      </c>
      <c r="I63" s="29"/>
      <c r="J63" s="29" t="s">
        <v>210</v>
      </c>
      <c r="K63" s="21"/>
      <c r="N63" s="16" t="s">
        <v>150</v>
      </c>
      <c r="O63" s="16" t="s">
        <v>150</v>
      </c>
    </row>
    <row r="64" spans="1:15" x14ac:dyDescent="0.25">
      <c r="A64">
        <v>42</v>
      </c>
      <c r="B64" s="8" t="s">
        <v>15</v>
      </c>
      <c r="C64" s="8" t="str">
        <f t="shared" si="16"/>
        <v>Blaine</v>
      </c>
      <c r="D64" s="8" t="str">
        <f t="shared" si="17"/>
        <v>Gibis</v>
      </c>
      <c r="E64" s="8">
        <f t="shared" si="18"/>
        <v>7</v>
      </c>
      <c r="F64" s="8">
        <f t="shared" si="19"/>
        <v>12</v>
      </c>
      <c r="G64" s="7">
        <v>40</v>
      </c>
      <c r="H64" s="8" t="s">
        <v>63</v>
      </c>
      <c r="I64" s="29"/>
      <c r="J64" s="29" t="s">
        <v>186</v>
      </c>
      <c r="K64" s="21"/>
      <c r="N64" s="16" t="s">
        <v>150</v>
      </c>
      <c r="O64" s="16" t="s">
        <v>150</v>
      </c>
    </row>
    <row r="65" spans="1:15" x14ac:dyDescent="0.25">
      <c r="A65">
        <v>43</v>
      </c>
      <c r="B65" s="8" t="s">
        <v>120</v>
      </c>
      <c r="C65" s="8" t="str">
        <f t="shared" si="16"/>
        <v>Brad</v>
      </c>
      <c r="D65" s="8" t="str">
        <f t="shared" si="17"/>
        <v>Ashton</v>
      </c>
      <c r="E65" s="8">
        <f t="shared" si="18"/>
        <v>5</v>
      </c>
      <c r="F65" s="8">
        <f t="shared" si="19"/>
        <v>11</v>
      </c>
      <c r="G65" s="7">
        <v>40</v>
      </c>
      <c r="H65" s="8"/>
      <c r="I65" s="29"/>
      <c r="J65" s="29" t="s">
        <v>208</v>
      </c>
      <c r="K65" s="21"/>
      <c r="N65" s="16" t="s">
        <v>150</v>
      </c>
      <c r="O65" s="16" t="s">
        <v>150</v>
      </c>
    </row>
    <row r="66" spans="1:15" x14ac:dyDescent="0.25">
      <c r="A66">
        <v>44</v>
      </c>
      <c r="B66" s="8" t="s">
        <v>136</v>
      </c>
      <c r="C66" s="8" t="str">
        <f t="shared" si="16"/>
        <v>Joe</v>
      </c>
      <c r="D66" s="8" t="str">
        <f t="shared" si="17"/>
        <v>Merighi</v>
      </c>
      <c r="E66" s="8">
        <f t="shared" si="18"/>
        <v>4</v>
      </c>
      <c r="F66" s="8">
        <f t="shared" si="19"/>
        <v>11</v>
      </c>
      <c r="G66" s="7">
        <v>40</v>
      </c>
      <c r="H66" s="8"/>
      <c r="I66" s="29"/>
      <c r="J66" s="29" t="s">
        <v>188</v>
      </c>
      <c r="K66" s="21"/>
      <c r="N66" s="16" t="s">
        <v>150</v>
      </c>
      <c r="O66" s="16" t="s">
        <v>150</v>
      </c>
    </row>
    <row r="67" spans="1:15" x14ac:dyDescent="0.25">
      <c r="A67">
        <v>44</v>
      </c>
      <c r="B67" s="8" t="s">
        <v>75</v>
      </c>
      <c r="C67" s="8" t="str">
        <f t="shared" si="16"/>
        <v>Joseph</v>
      </c>
      <c r="D67" s="8" t="str">
        <f t="shared" si="17"/>
        <v>Merighi</v>
      </c>
      <c r="E67" s="8">
        <f t="shared" si="18"/>
        <v>7</v>
      </c>
      <c r="F67" s="8">
        <f t="shared" si="19"/>
        <v>14</v>
      </c>
      <c r="G67" s="7">
        <v>40</v>
      </c>
      <c r="H67" s="8" t="s">
        <v>81</v>
      </c>
      <c r="I67" s="29"/>
      <c r="J67" s="29" t="s">
        <v>188</v>
      </c>
      <c r="K67" s="21"/>
      <c r="N67" s="16" t="s">
        <v>150</v>
      </c>
      <c r="O67" s="16" t="s">
        <v>150</v>
      </c>
    </row>
    <row r="68" spans="1:15" x14ac:dyDescent="0.25">
      <c r="A68">
        <v>45</v>
      </c>
      <c r="B68" s="8" t="s">
        <v>137</v>
      </c>
      <c r="C68" s="8" t="str">
        <f t="shared" si="16"/>
        <v>Kimberly</v>
      </c>
      <c r="D68" s="8" t="str">
        <f t="shared" si="17"/>
        <v>Myers</v>
      </c>
      <c r="E68" s="8">
        <f t="shared" si="18"/>
        <v>9</v>
      </c>
      <c r="F68" s="8">
        <f t="shared" si="19"/>
        <v>14</v>
      </c>
      <c r="G68" s="7">
        <v>40</v>
      </c>
      <c r="H68" s="8"/>
      <c r="I68" s="29"/>
      <c r="J68" s="29" t="s">
        <v>207</v>
      </c>
      <c r="K68" s="21"/>
      <c r="N68" s="16" t="s">
        <v>150</v>
      </c>
      <c r="O68" s="16" t="s">
        <v>150</v>
      </c>
    </row>
    <row r="69" spans="1:15" x14ac:dyDescent="0.25">
      <c r="A69">
        <v>46</v>
      </c>
      <c r="B69" s="8" t="s">
        <v>130</v>
      </c>
      <c r="C69" s="8" t="str">
        <f t="shared" si="16"/>
        <v>Kyle</v>
      </c>
      <c r="D69" s="8" t="str">
        <f t="shared" si="17"/>
        <v>Pitts</v>
      </c>
      <c r="E69" s="8">
        <f t="shared" si="18"/>
        <v>5</v>
      </c>
      <c r="F69" s="8">
        <f t="shared" si="19"/>
        <v>10</v>
      </c>
      <c r="G69" s="7">
        <v>40</v>
      </c>
      <c r="H69" s="8"/>
      <c r="I69" s="29"/>
      <c r="J69" s="29" t="s">
        <v>200</v>
      </c>
      <c r="K69" s="21"/>
      <c r="N69" s="16" t="s">
        <v>150</v>
      </c>
      <c r="O69" s="16" t="s">
        <v>150</v>
      </c>
    </row>
    <row r="70" spans="1:15" x14ac:dyDescent="0.25">
      <c r="A70">
        <v>47</v>
      </c>
      <c r="B70" s="8" t="s">
        <v>157</v>
      </c>
      <c r="C70" s="8" t="str">
        <f t="shared" si="16"/>
        <v>Melanie</v>
      </c>
      <c r="D70" s="8" t="str">
        <f t="shared" si="17"/>
        <v>Anderson</v>
      </c>
      <c r="E70" s="8">
        <f t="shared" si="18"/>
        <v>8</v>
      </c>
      <c r="F70" s="8">
        <f t="shared" si="19"/>
        <v>16</v>
      </c>
      <c r="G70" s="7">
        <v>40</v>
      </c>
      <c r="H70" s="8"/>
      <c r="I70" s="29"/>
      <c r="J70" s="29" t="s">
        <v>203</v>
      </c>
      <c r="K70" s="21"/>
      <c r="N70" s="16" t="s">
        <v>150</v>
      </c>
      <c r="O70" s="16" t="s">
        <v>150</v>
      </c>
    </row>
    <row r="71" spans="1:15" x14ac:dyDescent="0.25">
      <c r="A71">
        <v>48</v>
      </c>
      <c r="B71" s="8" t="s">
        <v>20</v>
      </c>
      <c r="C71" s="8" t="str">
        <f t="shared" si="16"/>
        <v>Mike</v>
      </c>
      <c r="D71" s="8" t="str">
        <f t="shared" si="17"/>
        <v>Nieland</v>
      </c>
      <c r="E71" s="8">
        <f t="shared" si="18"/>
        <v>5</v>
      </c>
      <c r="F71" s="8">
        <f t="shared" si="19"/>
        <v>12</v>
      </c>
      <c r="G71" s="7">
        <v>40</v>
      </c>
      <c r="H71" s="8" t="s">
        <v>65</v>
      </c>
      <c r="I71" s="29"/>
      <c r="J71" s="29" t="s">
        <v>187</v>
      </c>
      <c r="K71" s="21"/>
      <c r="N71" s="16" t="s">
        <v>150</v>
      </c>
      <c r="O71" s="16" t="s">
        <v>150</v>
      </c>
    </row>
    <row r="72" spans="1:15" x14ac:dyDescent="0.25">
      <c r="A72">
        <v>49</v>
      </c>
      <c r="B72" s="8" t="s">
        <v>5</v>
      </c>
      <c r="C72" s="8" t="str">
        <f t="shared" si="16"/>
        <v>Nick</v>
      </c>
      <c r="D72" s="8" t="str">
        <f t="shared" si="17"/>
        <v>Larson</v>
      </c>
      <c r="E72" s="8">
        <f t="shared" si="18"/>
        <v>5</v>
      </c>
      <c r="F72" s="8">
        <f t="shared" si="19"/>
        <v>11</v>
      </c>
      <c r="G72" s="7">
        <v>40</v>
      </c>
      <c r="H72" s="8" t="s">
        <v>63</v>
      </c>
      <c r="I72" s="29"/>
      <c r="J72" s="29" t="s">
        <v>186</v>
      </c>
      <c r="K72" s="21"/>
      <c r="N72" s="16" t="s">
        <v>150</v>
      </c>
      <c r="O72" s="16" t="s">
        <v>150</v>
      </c>
    </row>
    <row r="73" spans="1:15" x14ac:dyDescent="0.25">
      <c r="A73">
        <v>50</v>
      </c>
      <c r="B73" s="8" t="s">
        <v>128</v>
      </c>
      <c r="C73" s="8" t="str">
        <f t="shared" si="16"/>
        <v>Phil</v>
      </c>
      <c r="D73" s="8" t="str">
        <f t="shared" si="17"/>
        <v>Essington</v>
      </c>
      <c r="E73" s="8">
        <f t="shared" si="18"/>
        <v>5</v>
      </c>
      <c r="F73" s="8">
        <f t="shared" si="19"/>
        <v>14</v>
      </c>
      <c r="G73" s="7">
        <v>40</v>
      </c>
      <c r="H73" s="8"/>
      <c r="I73" s="29"/>
      <c r="J73" s="29" t="s">
        <v>206</v>
      </c>
      <c r="K73" s="21"/>
      <c r="N73" s="16" t="s">
        <v>150</v>
      </c>
      <c r="O73" s="16" t="s">
        <v>150</v>
      </c>
    </row>
    <row r="74" spans="1:15" s="12" customFormat="1" x14ac:dyDescent="0.25">
      <c r="A74">
        <v>51</v>
      </c>
      <c r="B74" s="8" t="s">
        <v>73</v>
      </c>
      <c r="C74" s="8" t="str">
        <f t="shared" si="16"/>
        <v>Wendy</v>
      </c>
      <c r="D74" s="8" t="str">
        <f t="shared" si="17"/>
        <v>Batz</v>
      </c>
      <c r="E74" s="8">
        <f t="shared" si="18"/>
        <v>6</v>
      </c>
      <c r="F74" s="8">
        <f t="shared" si="19"/>
        <v>10</v>
      </c>
      <c r="G74" s="7">
        <v>40</v>
      </c>
      <c r="H74" s="8" t="s">
        <v>63</v>
      </c>
      <c r="I74" s="29"/>
      <c r="J74" s="29" t="s">
        <v>186</v>
      </c>
      <c r="K74" s="21"/>
      <c r="N74" s="16" t="s">
        <v>150</v>
      </c>
      <c r="O74" s="16" t="s">
        <v>150</v>
      </c>
    </row>
    <row r="75" spans="1:15" x14ac:dyDescent="0.25">
      <c r="B75" s="9" t="s">
        <v>158</v>
      </c>
      <c r="C75" s="9"/>
      <c r="D75" s="9"/>
      <c r="E75" s="9"/>
      <c r="F75" s="9"/>
      <c r="G75" s="11"/>
      <c r="H75" s="9"/>
      <c r="I75" s="30"/>
      <c r="J75" s="30"/>
      <c r="K75" s="21"/>
    </row>
    <row r="76" spans="1:15" x14ac:dyDescent="0.25">
      <c r="A76">
        <v>52</v>
      </c>
      <c r="B76" s="8" t="s">
        <v>98</v>
      </c>
      <c r="C76" s="8" t="str">
        <f t="shared" ref="C76:C84" si="20">LEFT(B76, E76-1)</f>
        <v>Alison</v>
      </c>
      <c r="D76" s="8" t="str">
        <f t="shared" ref="D76:D84" si="21">RIGHT(B76, F76-E76)</f>
        <v>Doering</v>
      </c>
      <c r="E76" s="8">
        <f t="shared" ref="E76:E84" si="22">FIND(" ",B76)</f>
        <v>7</v>
      </c>
      <c r="F76" s="8">
        <f t="shared" ref="F76:F84" si="23">LEN(B76)</f>
        <v>14</v>
      </c>
      <c r="G76" s="7">
        <v>45</v>
      </c>
      <c r="H76" s="8"/>
      <c r="I76" s="29"/>
      <c r="J76" s="29" t="s">
        <v>205</v>
      </c>
      <c r="K76" s="21"/>
    </row>
    <row r="77" spans="1:15" x14ac:dyDescent="0.25">
      <c r="A77">
        <v>53</v>
      </c>
      <c r="B77" s="8" t="s">
        <v>143</v>
      </c>
      <c r="C77" s="8" t="str">
        <f t="shared" si="20"/>
        <v>Dom</v>
      </c>
      <c r="D77" s="8" t="str">
        <f t="shared" si="21"/>
        <v>Poulin</v>
      </c>
      <c r="E77" s="8">
        <f t="shared" si="22"/>
        <v>4</v>
      </c>
      <c r="F77" s="8">
        <f t="shared" si="23"/>
        <v>10</v>
      </c>
      <c r="G77" s="7">
        <v>45</v>
      </c>
      <c r="H77" s="8"/>
      <c r="I77" s="29"/>
      <c r="J77" s="29" t="s">
        <v>187</v>
      </c>
      <c r="K77" s="21"/>
    </row>
    <row r="78" spans="1:15" x14ac:dyDescent="0.25">
      <c r="A78">
        <v>54</v>
      </c>
      <c r="B78" s="8" t="s">
        <v>25</v>
      </c>
      <c r="C78" s="8" t="str">
        <f t="shared" si="20"/>
        <v>Earl</v>
      </c>
      <c r="D78" s="8" t="str">
        <f t="shared" si="21"/>
        <v>Netwal</v>
      </c>
      <c r="E78" s="8">
        <f t="shared" si="22"/>
        <v>5</v>
      </c>
      <c r="F78" s="8">
        <f t="shared" si="23"/>
        <v>11</v>
      </c>
      <c r="G78" s="7">
        <v>45</v>
      </c>
      <c r="H78" s="8" t="s">
        <v>58</v>
      </c>
      <c r="I78" s="29"/>
      <c r="J78" s="29" t="s">
        <v>184</v>
      </c>
      <c r="K78" s="21"/>
    </row>
    <row r="79" spans="1:15" x14ac:dyDescent="0.25">
      <c r="A79">
        <v>55</v>
      </c>
      <c r="B79" s="8" t="s">
        <v>74</v>
      </c>
      <c r="C79" s="8" t="str">
        <f t="shared" si="20"/>
        <v>Kathleen</v>
      </c>
      <c r="D79" s="8" t="str">
        <f t="shared" si="21"/>
        <v>Maurer</v>
      </c>
      <c r="E79" s="8">
        <f t="shared" si="22"/>
        <v>9</v>
      </c>
      <c r="F79" s="8">
        <f t="shared" si="23"/>
        <v>15</v>
      </c>
      <c r="G79" s="7">
        <v>50</v>
      </c>
      <c r="H79" s="8" t="s">
        <v>65</v>
      </c>
      <c r="I79" s="29"/>
      <c r="J79" s="29" t="s">
        <v>184</v>
      </c>
      <c r="K79" s="21"/>
    </row>
    <row r="80" spans="1:15" x14ac:dyDescent="0.25">
      <c r="A80">
        <v>56</v>
      </c>
      <c r="B80" s="8" t="s">
        <v>60</v>
      </c>
      <c r="C80" s="8" t="str">
        <f t="shared" si="20"/>
        <v>Keri</v>
      </c>
      <c r="D80" s="8" t="str">
        <f t="shared" si="21"/>
        <v>Anderson</v>
      </c>
      <c r="E80" s="8">
        <f t="shared" si="22"/>
        <v>5</v>
      </c>
      <c r="F80" s="8">
        <f t="shared" si="23"/>
        <v>13</v>
      </c>
      <c r="G80" s="7">
        <v>45</v>
      </c>
      <c r="H80" s="8"/>
      <c r="I80" s="29"/>
      <c r="J80" s="29" t="s">
        <v>204</v>
      </c>
      <c r="K80" s="21"/>
    </row>
    <row r="81" spans="1:15" x14ac:dyDescent="0.25">
      <c r="A81">
        <v>57</v>
      </c>
      <c r="B81" s="8" t="s">
        <v>8</v>
      </c>
      <c r="C81" s="8" t="str">
        <f t="shared" si="20"/>
        <v>Lori</v>
      </c>
      <c r="D81" s="8" t="str">
        <f t="shared" si="21"/>
        <v>Norberg</v>
      </c>
      <c r="E81" s="8">
        <f t="shared" si="22"/>
        <v>5</v>
      </c>
      <c r="F81" s="8">
        <f t="shared" si="23"/>
        <v>12</v>
      </c>
      <c r="G81" s="7">
        <v>45</v>
      </c>
      <c r="H81" s="8" t="s">
        <v>63</v>
      </c>
      <c r="I81" s="29"/>
      <c r="J81" s="29" t="s">
        <v>186</v>
      </c>
      <c r="K81" s="21"/>
    </row>
    <row r="82" spans="1:15" x14ac:dyDescent="0.25">
      <c r="A82">
        <v>58</v>
      </c>
      <c r="B82" s="8" t="s">
        <v>27</v>
      </c>
      <c r="C82" s="8" t="str">
        <f t="shared" si="20"/>
        <v>Mat</v>
      </c>
      <c r="D82" s="8" t="str">
        <f t="shared" si="21"/>
        <v>Kvidera</v>
      </c>
      <c r="E82" s="8">
        <f t="shared" si="22"/>
        <v>4</v>
      </c>
      <c r="F82" s="8">
        <f t="shared" si="23"/>
        <v>11</v>
      </c>
      <c r="G82" s="7">
        <v>45</v>
      </c>
      <c r="H82" s="8" t="s">
        <v>65</v>
      </c>
      <c r="I82" s="29"/>
      <c r="J82" s="29" t="s">
        <v>187</v>
      </c>
      <c r="K82" s="21"/>
    </row>
    <row r="83" spans="1:15" x14ac:dyDescent="0.25">
      <c r="A83">
        <v>59</v>
      </c>
      <c r="B83" s="8" t="s">
        <v>83</v>
      </c>
      <c r="C83" s="8" t="str">
        <f t="shared" si="20"/>
        <v>Melani</v>
      </c>
      <c r="D83" s="8" t="str">
        <f t="shared" si="21"/>
        <v>Weber</v>
      </c>
      <c r="E83" s="8">
        <f t="shared" si="22"/>
        <v>7</v>
      </c>
      <c r="F83" s="8">
        <f t="shared" si="23"/>
        <v>12</v>
      </c>
      <c r="G83" s="7">
        <v>45</v>
      </c>
      <c r="H83" s="8"/>
      <c r="I83" s="29"/>
      <c r="J83" s="29" t="s">
        <v>203</v>
      </c>
      <c r="K83" s="21"/>
    </row>
    <row r="84" spans="1:15" s="12" customFormat="1" x14ac:dyDescent="0.25">
      <c r="A84">
        <v>60</v>
      </c>
      <c r="B84" s="8" t="s">
        <v>91</v>
      </c>
      <c r="C84" s="8" t="str">
        <f t="shared" si="20"/>
        <v>Randy</v>
      </c>
      <c r="D84" s="8" t="str">
        <f t="shared" si="21"/>
        <v>Miranda</v>
      </c>
      <c r="E84" s="8">
        <f t="shared" si="22"/>
        <v>6</v>
      </c>
      <c r="F84" s="8">
        <f t="shared" si="23"/>
        <v>13</v>
      </c>
      <c r="G84" s="7">
        <v>45</v>
      </c>
      <c r="H84" s="8" t="s">
        <v>81</v>
      </c>
      <c r="I84" s="29"/>
      <c r="J84" s="29" t="s">
        <v>188</v>
      </c>
      <c r="K84" s="21"/>
    </row>
    <row r="85" spans="1:15" x14ac:dyDescent="0.25">
      <c r="B85" s="9" t="s">
        <v>159</v>
      </c>
      <c r="C85" s="9"/>
      <c r="D85" s="9"/>
      <c r="E85" s="9"/>
      <c r="F85" s="9"/>
      <c r="G85" s="11"/>
      <c r="H85" s="9"/>
      <c r="I85" s="30"/>
      <c r="J85" s="30"/>
      <c r="K85" s="21"/>
    </row>
    <row r="86" spans="1:15" x14ac:dyDescent="0.25">
      <c r="A86">
        <v>61</v>
      </c>
      <c r="B86" s="8" t="s">
        <v>68</v>
      </c>
      <c r="C86" s="8" t="str">
        <f t="shared" ref="C86:C93" si="24">LEFT(B86, E86-1)</f>
        <v>Chad</v>
      </c>
      <c r="D86" s="8" t="str">
        <f t="shared" ref="D86:D93" si="25">RIGHT(B86, F86-E86)</f>
        <v>Perlarski</v>
      </c>
      <c r="E86" s="8">
        <f t="shared" ref="E86:E93" si="26">FIND(" ",B86)</f>
        <v>5</v>
      </c>
      <c r="F86" s="8">
        <f t="shared" ref="F86:F93" si="27">LEN(B86)</f>
        <v>14</v>
      </c>
      <c r="G86" s="7">
        <v>70</v>
      </c>
      <c r="H86" s="8" t="s">
        <v>55</v>
      </c>
      <c r="I86" s="29"/>
      <c r="J86" s="29" t="s">
        <v>188</v>
      </c>
      <c r="K86" s="21"/>
    </row>
    <row r="87" spans="1:15" x14ac:dyDescent="0.25">
      <c r="A87">
        <v>62</v>
      </c>
      <c r="B87" s="8" t="s">
        <v>78</v>
      </c>
      <c r="C87" s="8" t="str">
        <f t="shared" si="24"/>
        <v>Devin</v>
      </c>
      <c r="D87" s="8" t="str">
        <f t="shared" si="25"/>
        <v>Davies</v>
      </c>
      <c r="E87" s="8">
        <f t="shared" si="26"/>
        <v>6</v>
      </c>
      <c r="F87" s="8">
        <f t="shared" si="27"/>
        <v>12</v>
      </c>
      <c r="G87" s="7">
        <v>70</v>
      </c>
      <c r="H87" s="8" t="s">
        <v>81</v>
      </c>
      <c r="I87" s="29"/>
      <c r="J87" s="29" t="s">
        <v>188</v>
      </c>
      <c r="K87" s="21"/>
    </row>
    <row r="88" spans="1:15" x14ac:dyDescent="0.25">
      <c r="A88">
        <v>63</v>
      </c>
      <c r="B88" s="8" t="s">
        <v>53</v>
      </c>
      <c r="C88" s="8" t="str">
        <f t="shared" si="24"/>
        <v>Garrett</v>
      </c>
      <c r="D88" s="8" t="str">
        <f t="shared" si="25"/>
        <v>Haugstad</v>
      </c>
      <c r="E88" s="8">
        <f t="shared" si="26"/>
        <v>8</v>
      </c>
      <c r="F88" s="8">
        <f t="shared" si="27"/>
        <v>16</v>
      </c>
      <c r="G88" s="7">
        <v>70</v>
      </c>
      <c r="H88" s="8" t="s">
        <v>56</v>
      </c>
      <c r="I88" s="29"/>
      <c r="J88" s="29" t="s">
        <v>187</v>
      </c>
      <c r="K88" s="21"/>
    </row>
    <row r="89" spans="1:15" x14ac:dyDescent="0.25">
      <c r="A89">
        <v>64</v>
      </c>
      <c r="B89" s="8" t="s">
        <v>90</v>
      </c>
      <c r="C89" s="8" t="str">
        <f t="shared" si="24"/>
        <v>Jessica</v>
      </c>
      <c r="D89" s="8" t="str">
        <f t="shared" si="25"/>
        <v>Buchberger</v>
      </c>
      <c r="E89" s="8">
        <f t="shared" si="26"/>
        <v>8</v>
      </c>
      <c r="F89" s="8">
        <f t="shared" si="27"/>
        <v>18</v>
      </c>
      <c r="G89" s="7">
        <v>70</v>
      </c>
      <c r="H89" s="8"/>
      <c r="I89" s="29"/>
      <c r="J89" s="29" t="s">
        <v>199</v>
      </c>
      <c r="K89" s="21"/>
    </row>
    <row r="90" spans="1:15" x14ac:dyDescent="0.25">
      <c r="A90">
        <v>65</v>
      </c>
      <c r="B90" s="8" t="s">
        <v>132</v>
      </c>
      <c r="C90" s="8" t="str">
        <f t="shared" si="24"/>
        <v>Karin</v>
      </c>
      <c r="D90" s="8" t="str">
        <f t="shared" si="25"/>
        <v>Broecker</v>
      </c>
      <c r="E90" s="8">
        <f t="shared" si="26"/>
        <v>6</v>
      </c>
      <c r="F90" s="8">
        <f t="shared" si="27"/>
        <v>14</v>
      </c>
      <c r="G90" s="7">
        <v>70</v>
      </c>
      <c r="H90" s="8"/>
      <c r="I90" s="29"/>
      <c r="J90" s="29" t="s">
        <v>202</v>
      </c>
      <c r="K90" s="21"/>
    </row>
    <row r="91" spans="1:15" x14ac:dyDescent="0.25">
      <c r="A91">
        <v>66</v>
      </c>
      <c r="B91" s="8" t="s">
        <v>201</v>
      </c>
      <c r="C91" s="8" t="str">
        <f t="shared" si="24"/>
        <v>Mike</v>
      </c>
      <c r="D91" s="8" t="str">
        <f t="shared" si="25"/>
        <v>Kroulik</v>
      </c>
      <c r="E91" s="8">
        <f t="shared" si="26"/>
        <v>5</v>
      </c>
      <c r="F91" s="8">
        <f t="shared" si="27"/>
        <v>12</v>
      </c>
      <c r="G91" s="7">
        <v>70</v>
      </c>
      <c r="H91" s="8"/>
      <c r="I91" s="29"/>
      <c r="J91" s="29" t="s">
        <v>200</v>
      </c>
      <c r="K91" s="21"/>
    </row>
    <row r="92" spans="1:15" x14ac:dyDescent="0.25">
      <c r="A92">
        <v>67</v>
      </c>
      <c r="B92" s="8" t="s">
        <v>71</v>
      </c>
      <c r="C92" s="8" t="str">
        <f t="shared" si="24"/>
        <v>Peter</v>
      </c>
      <c r="D92" s="8" t="str">
        <f t="shared" si="25"/>
        <v>Fox</v>
      </c>
      <c r="E92" s="8">
        <f t="shared" si="26"/>
        <v>6</v>
      </c>
      <c r="F92" s="8">
        <f t="shared" si="27"/>
        <v>9</v>
      </c>
      <c r="G92" s="7">
        <v>70</v>
      </c>
      <c r="H92" s="8"/>
      <c r="I92" s="29"/>
      <c r="J92" s="29" t="s">
        <v>200</v>
      </c>
      <c r="K92" s="21"/>
    </row>
    <row r="93" spans="1:15" s="12" customFormat="1" x14ac:dyDescent="0.25">
      <c r="A93" s="12">
        <v>68</v>
      </c>
      <c r="B93" s="8" t="s">
        <v>19</v>
      </c>
      <c r="C93" s="8" t="str">
        <f t="shared" si="24"/>
        <v>Tyler</v>
      </c>
      <c r="D93" s="8" t="str">
        <f t="shared" si="25"/>
        <v>Kilbury</v>
      </c>
      <c r="E93" s="8">
        <f t="shared" si="26"/>
        <v>6</v>
      </c>
      <c r="F93" s="8">
        <f t="shared" si="27"/>
        <v>13</v>
      </c>
      <c r="G93" s="7">
        <v>70</v>
      </c>
      <c r="H93" s="8" t="s">
        <v>56</v>
      </c>
      <c r="I93" s="29"/>
      <c r="J93" s="29" t="s">
        <v>187</v>
      </c>
      <c r="K93" s="21"/>
    </row>
    <row r="94" spans="1:15" x14ac:dyDescent="0.25">
      <c r="B94" s="9" t="s">
        <v>160</v>
      </c>
      <c r="C94" s="9"/>
      <c r="D94" s="9"/>
      <c r="E94" s="9"/>
      <c r="F94" s="9"/>
      <c r="G94" s="11"/>
      <c r="H94" s="9"/>
      <c r="I94" s="30"/>
      <c r="J94" s="30"/>
      <c r="K94" s="21"/>
    </row>
    <row r="95" spans="1:15" x14ac:dyDescent="0.25">
      <c r="A95">
        <v>69</v>
      </c>
      <c r="B95" s="8" t="s">
        <v>126</v>
      </c>
      <c r="C95" s="8" t="str">
        <f>LEFT(B95, E95-1)</f>
        <v>Aviv</v>
      </c>
      <c r="D95" s="8" t="str">
        <f>RIGHT(B95, F95-E95)</f>
        <v>Baron</v>
      </c>
      <c r="E95" s="8">
        <f>FIND(" ",B95)</f>
        <v>5</v>
      </c>
      <c r="F95" s="8">
        <f>LEN(B95)</f>
        <v>10</v>
      </c>
      <c r="G95" s="7">
        <v>150</v>
      </c>
      <c r="H95" s="8" t="s">
        <v>127</v>
      </c>
      <c r="I95" s="29"/>
      <c r="J95" s="29" t="s">
        <v>198</v>
      </c>
      <c r="K95" s="21"/>
      <c r="N95" s="16" t="s">
        <v>150</v>
      </c>
      <c r="O95" s="16" t="s">
        <v>150</v>
      </c>
    </row>
    <row r="96" spans="1:15" x14ac:dyDescent="0.25">
      <c r="A96">
        <v>70</v>
      </c>
      <c r="B96" s="8" t="s">
        <v>86</v>
      </c>
      <c r="C96" s="8" t="str">
        <f>LEFT(B96, E96-1)</f>
        <v>Dale</v>
      </c>
      <c r="D96" s="8" t="str">
        <f>RIGHT(B96, F96-E96)</f>
        <v>Jensen</v>
      </c>
      <c r="E96" s="8">
        <f>FIND(" ",B96)</f>
        <v>5</v>
      </c>
      <c r="F96" s="8">
        <f>LEN(B96)</f>
        <v>11</v>
      </c>
      <c r="G96" s="7">
        <v>125</v>
      </c>
      <c r="H96" s="8"/>
      <c r="I96" s="29"/>
      <c r="J96" s="29" t="s">
        <v>197</v>
      </c>
      <c r="K96" s="21"/>
      <c r="N96" s="16" t="s">
        <v>150</v>
      </c>
      <c r="O96" s="16" t="s">
        <v>150</v>
      </c>
    </row>
    <row r="97" spans="1:15" x14ac:dyDescent="0.25">
      <c r="A97">
        <v>71</v>
      </c>
      <c r="B97" s="8" t="s">
        <v>140</v>
      </c>
      <c r="C97" s="8" t="str">
        <f>LEFT(B97, E97-1)</f>
        <v>Joel</v>
      </c>
      <c r="D97" s="8" t="str">
        <f>RIGHT(B97, F97-E97)</f>
        <v>Wuorio</v>
      </c>
      <c r="E97" s="8">
        <f>FIND(" ",B97)</f>
        <v>5</v>
      </c>
      <c r="F97" s="8">
        <f>LEN(B97)</f>
        <v>11</v>
      </c>
      <c r="G97" s="7">
        <v>125</v>
      </c>
      <c r="H97" s="8"/>
      <c r="I97" s="29"/>
      <c r="J97" s="29" t="s">
        <v>184</v>
      </c>
      <c r="K97" s="21"/>
      <c r="N97" s="16" t="s">
        <v>150</v>
      </c>
      <c r="O97" s="16" t="s">
        <v>150</v>
      </c>
    </row>
    <row r="98" spans="1:15" x14ac:dyDescent="0.25">
      <c r="A98">
        <v>72</v>
      </c>
      <c r="B98" s="8" t="s">
        <v>77</v>
      </c>
      <c r="C98" s="8" t="str">
        <f>LEFT(B98, E98-1)</f>
        <v>Judy</v>
      </c>
      <c r="D98" s="8" t="str">
        <f>RIGHT(B98, F98-E98)</f>
        <v>Meath</v>
      </c>
      <c r="E98" s="8">
        <f>FIND(" ",B98)</f>
        <v>5</v>
      </c>
      <c r="F98" s="8">
        <f>LEN(B98)</f>
        <v>10</v>
      </c>
      <c r="G98" s="7">
        <v>125</v>
      </c>
      <c r="H98" s="8" t="s">
        <v>81</v>
      </c>
      <c r="I98" s="29"/>
      <c r="J98" s="29" t="s">
        <v>188</v>
      </c>
      <c r="K98" s="21"/>
      <c r="N98" s="16" t="s">
        <v>150</v>
      </c>
      <c r="O98" s="16" t="s">
        <v>150</v>
      </c>
    </row>
    <row r="99" spans="1:15" s="12" customFormat="1" x14ac:dyDescent="0.25">
      <c r="A99">
        <v>73</v>
      </c>
      <c r="B99" s="8" t="s">
        <v>11</v>
      </c>
      <c r="C99" s="8" t="str">
        <f>LEFT(B99, E99-1)</f>
        <v>Kirstie</v>
      </c>
      <c r="D99" s="8" t="str">
        <f>RIGHT(B99, F99-E99)</f>
        <v>Kimball</v>
      </c>
      <c r="E99" s="8">
        <f>FIND(" ",B99)</f>
        <v>8</v>
      </c>
      <c r="F99" s="8">
        <f>LEN(B99)</f>
        <v>15</v>
      </c>
      <c r="G99" s="7">
        <v>125</v>
      </c>
      <c r="H99" s="8" t="s">
        <v>65</v>
      </c>
      <c r="I99" s="29"/>
      <c r="J99" s="29" t="s">
        <v>187</v>
      </c>
      <c r="K99" s="21"/>
      <c r="N99" s="16" t="s">
        <v>150</v>
      </c>
      <c r="O99" s="16" t="s">
        <v>150</v>
      </c>
    </row>
    <row r="100" spans="1:15" x14ac:dyDescent="0.25">
      <c r="B100" s="9" t="s">
        <v>161</v>
      </c>
      <c r="C100" s="9"/>
      <c r="D100" s="9"/>
      <c r="E100" s="9"/>
      <c r="F100" s="9"/>
      <c r="G100" s="11"/>
      <c r="H100" s="9"/>
      <c r="I100" s="30"/>
      <c r="J100" s="30"/>
      <c r="K100" s="21"/>
    </row>
    <row r="101" spans="1:15" x14ac:dyDescent="0.25">
      <c r="A101">
        <v>74</v>
      </c>
      <c r="B101" s="8" t="s">
        <v>99</v>
      </c>
      <c r="C101" s="8" t="str">
        <f>LEFT(B101, E101-1)</f>
        <v>Andrew</v>
      </c>
      <c r="D101" s="8" t="str">
        <f>RIGHT(B101, F101-E101)</f>
        <v>Morison</v>
      </c>
      <c r="E101" s="8">
        <f>FIND(" ",B101)</f>
        <v>7</v>
      </c>
      <c r="F101" s="8">
        <f>LEN(B101)</f>
        <v>14</v>
      </c>
      <c r="G101" s="7">
        <v>325</v>
      </c>
      <c r="H101" s="8" t="s">
        <v>106</v>
      </c>
      <c r="I101" s="29"/>
      <c r="J101" s="29" t="s">
        <v>185</v>
      </c>
      <c r="K101" s="21"/>
    </row>
    <row r="102" spans="1:15" x14ac:dyDescent="0.25">
      <c r="A102">
        <v>75</v>
      </c>
      <c r="B102" s="8" t="s">
        <v>10</v>
      </c>
      <c r="C102" s="8" t="str">
        <f>LEFT(B102, E102-1)</f>
        <v>Gayle</v>
      </c>
      <c r="D102" s="8" t="str">
        <f>RIGHT(B102, F102-E102)</f>
        <v>Koop</v>
      </c>
      <c r="E102" s="8">
        <f>FIND(" ",B102)</f>
        <v>6</v>
      </c>
      <c r="F102" s="8">
        <f>LEN(B102)</f>
        <v>10</v>
      </c>
      <c r="G102" s="7">
        <v>250</v>
      </c>
      <c r="H102" s="8" t="s">
        <v>57</v>
      </c>
      <c r="I102" s="29"/>
      <c r="J102" s="29" t="s">
        <v>190</v>
      </c>
      <c r="K102" s="21"/>
    </row>
    <row r="103" spans="1:15" x14ac:dyDescent="0.25">
      <c r="A103">
        <v>76</v>
      </c>
      <c r="B103" s="8" t="s">
        <v>9</v>
      </c>
      <c r="C103" s="8" t="str">
        <f>LEFT(B103, E103-1)</f>
        <v>Gwenne</v>
      </c>
      <c r="D103" s="8" t="str">
        <f>RIGHT(B103, F103-E103)</f>
        <v>Gustafson</v>
      </c>
      <c r="E103" s="8">
        <f>FIND(" ",B103)</f>
        <v>7</v>
      </c>
      <c r="F103" s="8">
        <f>LEN(B103)</f>
        <v>16</v>
      </c>
      <c r="G103" s="7">
        <v>250</v>
      </c>
      <c r="H103" s="8" t="s">
        <v>64</v>
      </c>
      <c r="I103" s="29"/>
      <c r="J103" s="29" t="s">
        <v>190</v>
      </c>
      <c r="K103" s="21"/>
    </row>
    <row r="104" spans="1:15" x14ac:dyDescent="0.25">
      <c r="A104">
        <v>77</v>
      </c>
      <c r="B104" s="8" t="s">
        <v>66</v>
      </c>
      <c r="C104" s="8" t="str">
        <f>LEFT(B104, E104-1)</f>
        <v>Jon</v>
      </c>
      <c r="D104" s="8" t="str">
        <f>RIGHT(B104, F104-E104)</f>
        <v>Koop</v>
      </c>
      <c r="E104" s="8">
        <f>FIND(" ",B104)</f>
        <v>4</v>
      </c>
      <c r="F104" s="8">
        <f>LEN(B104)</f>
        <v>8</v>
      </c>
      <c r="G104" s="7">
        <v>250</v>
      </c>
      <c r="H104" s="8" t="s">
        <v>69</v>
      </c>
      <c r="I104" s="29"/>
      <c r="J104" s="29" t="s">
        <v>196</v>
      </c>
      <c r="K104" s="21"/>
    </row>
    <row r="105" spans="1:15" s="12" customFormat="1" x14ac:dyDescent="0.25">
      <c r="A105" s="12">
        <v>78</v>
      </c>
      <c r="B105" s="8" t="s">
        <v>76</v>
      </c>
      <c r="C105" s="8" t="str">
        <f>LEFT(B105, E105-1)</f>
        <v>Steve</v>
      </c>
      <c r="D105" s="8" t="str">
        <f>RIGHT(B105, F105-E105)</f>
        <v>Piper-Maurer</v>
      </c>
      <c r="E105" s="8">
        <f>FIND(" ",B105)</f>
        <v>6</v>
      </c>
      <c r="F105" s="8">
        <f>LEN(B105)</f>
        <v>18</v>
      </c>
      <c r="G105" s="7">
        <v>250</v>
      </c>
      <c r="H105" s="8" t="s">
        <v>82</v>
      </c>
      <c r="I105" s="29"/>
      <c r="J105" s="29" t="s">
        <v>196</v>
      </c>
      <c r="K105" s="21"/>
    </row>
    <row r="106" spans="1:15" x14ac:dyDescent="0.25">
      <c r="B106" s="9" t="s">
        <v>162</v>
      </c>
      <c r="C106" s="9"/>
      <c r="D106" s="9"/>
      <c r="E106" s="9"/>
      <c r="F106" s="9"/>
      <c r="G106" s="11"/>
      <c r="H106" s="9"/>
      <c r="I106" s="30"/>
      <c r="J106" s="30"/>
      <c r="K106" s="21"/>
    </row>
    <row r="107" spans="1:15" x14ac:dyDescent="0.25">
      <c r="A107">
        <v>79</v>
      </c>
      <c r="B107" s="8" t="s">
        <v>102</v>
      </c>
      <c r="C107" s="8" t="str">
        <f>LEFT(B107, E107-1)</f>
        <v>Danella</v>
      </c>
      <c r="D107" s="8" t="str">
        <f>RIGHT(B107, F107-E107)</f>
        <v>Myers</v>
      </c>
      <c r="E107" s="8">
        <f>FIND(" ",B107)</f>
        <v>8</v>
      </c>
      <c r="F107" s="8">
        <f>LEN(B107)</f>
        <v>13</v>
      </c>
      <c r="G107" s="7">
        <v>350</v>
      </c>
      <c r="H107" s="8" t="s">
        <v>219</v>
      </c>
      <c r="I107" s="29"/>
      <c r="J107" s="29" t="s">
        <v>189</v>
      </c>
      <c r="K107" s="21"/>
    </row>
    <row r="108" spans="1:15" x14ac:dyDescent="0.25">
      <c r="G108" s="1">
        <f>SUM(G3:G107)</f>
        <v>5065</v>
      </c>
    </row>
    <row r="109" spans="1:15" x14ac:dyDescent="0.25">
      <c r="G109" s="1" t="s">
        <v>48</v>
      </c>
    </row>
    <row r="117" spans="6:6" x14ac:dyDescent="0.25">
      <c r="F117" t="s">
        <v>180</v>
      </c>
    </row>
  </sheetData>
  <sortState ref="A3:H19">
    <sortCondition ref="C3:C19"/>
    <sortCondition ref="D3:D19"/>
  </sortState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"/>
  <sheetViews>
    <sheetView workbookViewId="0">
      <pane ySplit="1" topLeftCell="A13" activePane="bottomLeft" state="frozen"/>
      <selection pane="bottomLeft" activeCell="D2" sqref="D2"/>
    </sheetView>
  </sheetViews>
  <sheetFormatPr defaultColWidth="8.85546875" defaultRowHeight="15" x14ac:dyDescent="0.25"/>
  <cols>
    <col min="2" max="2" width="23.7109375" bestFit="1" customWidth="1"/>
    <col min="3" max="3" width="14.85546875" bestFit="1" customWidth="1"/>
    <col min="4" max="4" width="11.7109375" bestFit="1" customWidth="1"/>
    <col min="5" max="5" width="5.7109375" bestFit="1" customWidth="1"/>
    <col min="6" max="6" width="6.42578125" bestFit="1" customWidth="1"/>
    <col min="7" max="7" width="9.140625" style="1" bestFit="1" customWidth="1"/>
    <col min="8" max="8" width="23.42578125" bestFit="1" customWidth="1"/>
    <col min="9" max="9" width="20.140625" bestFit="1" customWidth="1"/>
    <col min="10" max="10" width="17.42578125" bestFit="1" customWidth="1"/>
    <col min="11" max="11" width="11" style="22" bestFit="1" customWidth="1"/>
    <col min="12" max="12" width="10" bestFit="1" customWidth="1"/>
    <col min="13" max="15" width="4.28515625" bestFit="1" customWidth="1"/>
  </cols>
  <sheetData>
    <row r="1" spans="1:15" x14ac:dyDescent="0.25">
      <c r="B1" s="6" t="s">
        <v>3</v>
      </c>
      <c r="C1" s="6" t="s">
        <v>29</v>
      </c>
      <c r="D1" s="6" t="s">
        <v>30</v>
      </c>
      <c r="E1" s="6" t="s">
        <v>31</v>
      </c>
      <c r="F1" s="6" t="s">
        <v>32</v>
      </c>
      <c r="G1" s="10" t="s">
        <v>51</v>
      </c>
      <c r="H1" s="6" t="s">
        <v>145</v>
      </c>
      <c r="I1" s="27" t="s">
        <v>191</v>
      </c>
      <c r="J1" s="27" t="s">
        <v>182</v>
      </c>
      <c r="K1" s="20" t="s">
        <v>175</v>
      </c>
      <c r="L1" s="13" t="s">
        <v>146</v>
      </c>
      <c r="M1" s="13" t="s">
        <v>147</v>
      </c>
      <c r="N1" s="13" t="s">
        <v>148</v>
      </c>
      <c r="O1" s="13" t="s">
        <v>149</v>
      </c>
    </row>
    <row r="2" spans="1:15" x14ac:dyDescent="0.25">
      <c r="A2">
        <v>39</v>
      </c>
      <c r="B2" s="8" t="s">
        <v>62</v>
      </c>
      <c r="C2" s="8" t="str">
        <f t="shared" ref="C2:C33" si="0">LEFT(B2, E2-1)</f>
        <v>Allise</v>
      </c>
      <c r="D2" s="8" t="str">
        <f t="shared" ref="D2:D33" si="1">RIGHT(B2, F2-E2)</f>
        <v>Wuorio</v>
      </c>
      <c r="E2" s="8">
        <f t="shared" ref="E2:E33" si="2">FIND(" ",B2)</f>
        <v>7</v>
      </c>
      <c r="F2" s="8">
        <f t="shared" ref="F2:F33" si="3">LEN(B2)</f>
        <v>13</v>
      </c>
      <c r="G2" s="7">
        <v>50</v>
      </c>
      <c r="H2" s="8" t="s">
        <v>192</v>
      </c>
      <c r="I2" s="29"/>
      <c r="J2" s="29" t="s">
        <v>185</v>
      </c>
      <c r="K2" s="21"/>
      <c r="N2" s="16" t="s">
        <v>150</v>
      </c>
      <c r="O2" s="16" t="s">
        <v>150</v>
      </c>
    </row>
    <row r="3" spans="1:15" s="2" customFormat="1" x14ac:dyDescent="0.25">
      <c r="A3">
        <v>74</v>
      </c>
      <c r="B3" s="8" t="s">
        <v>99</v>
      </c>
      <c r="C3" s="8" t="str">
        <f t="shared" si="0"/>
        <v>Andrew</v>
      </c>
      <c r="D3" s="8" t="str">
        <f t="shared" si="1"/>
        <v>Morison</v>
      </c>
      <c r="E3" s="8">
        <f t="shared" si="2"/>
        <v>7</v>
      </c>
      <c r="F3" s="8">
        <f t="shared" si="3"/>
        <v>14</v>
      </c>
      <c r="G3" s="7">
        <v>325</v>
      </c>
      <c r="H3" s="8" t="s">
        <v>106</v>
      </c>
      <c r="I3" s="29"/>
      <c r="J3" s="29" t="s">
        <v>185</v>
      </c>
      <c r="K3" s="21"/>
      <c r="L3"/>
      <c r="M3"/>
      <c r="N3"/>
      <c r="O3"/>
    </row>
    <row r="4" spans="1:15" x14ac:dyDescent="0.25">
      <c r="A4" s="12">
        <v>5</v>
      </c>
      <c r="B4" s="8" t="s">
        <v>17</v>
      </c>
      <c r="C4" s="8" t="str">
        <f t="shared" si="0"/>
        <v>Adam</v>
      </c>
      <c r="D4" s="8" t="str">
        <f t="shared" si="1"/>
        <v>Harmon</v>
      </c>
      <c r="E4" s="8">
        <f t="shared" si="2"/>
        <v>5</v>
      </c>
      <c r="F4" s="8">
        <f t="shared" si="3"/>
        <v>11</v>
      </c>
      <c r="G4" s="7">
        <v>20</v>
      </c>
      <c r="H4" s="8" t="s">
        <v>63</v>
      </c>
      <c r="I4" s="29"/>
      <c r="J4" s="29" t="s">
        <v>186</v>
      </c>
      <c r="K4" s="21"/>
      <c r="N4" s="2" t="s">
        <v>150</v>
      </c>
      <c r="O4" s="2" t="s">
        <v>150</v>
      </c>
    </row>
    <row r="5" spans="1:15" x14ac:dyDescent="0.25">
      <c r="A5" s="12">
        <v>14</v>
      </c>
      <c r="B5" s="8" t="s">
        <v>16</v>
      </c>
      <c r="C5" s="8" t="str">
        <f t="shared" si="0"/>
        <v>Reid</v>
      </c>
      <c r="D5" s="8" t="str">
        <f t="shared" si="1"/>
        <v>Marble</v>
      </c>
      <c r="E5" s="8">
        <f t="shared" si="2"/>
        <v>5</v>
      </c>
      <c r="F5" s="8">
        <f t="shared" si="3"/>
        <v>11</v>
      </c>
      <c r="G5" s="7">
        <v>20</v>
      </c>
      <c r="H5" s="8" t="s">
        <v>57</v>
      </c>
      <c r="I5" s="29"/>
      <c r="J5" s="29" t="s">
        <v>186</v>
      </c>
      <c r="K5" s="21"/>
      <c r="N5" s="2" t="s">
        <v>150</v>
      </c>
      <c r="O5" s="2" t="s">
        <v>150</v>
      </c>
    </row>
    <row r="6" spans="1:15" x14ac:dyDescent="0.25">
      <c r="A6" s="12">
        <v>21</v>
      </c>
      <c r="B6" s="8" t="s">
        <v>88</v>
      </c>
      <c r="C6" s="8" t="str">
        <f t="shared" si="0"/>
        <v>Adam</v>
      </c>
      <c r="D6" s="8" t="str">
        <f t="shared" si="1"/>
        <v>Wold</v>
      </c>
      <c r="E6" s="8">
        <f t="shared" si="2"/>
        <v>5</v>
      </c>
      <c r="F6" s="8">
        <f t="shared" si="3"/>
        <v>9</v>
      </c>
      <c r="G6" s="7">
        <v>30</v>
      </c>
      <c r="H6" s="8" t="s">
        <v>65</v>
      </c>
      <c r="I6" s="29"/>
      <c r="J6" s="29" t="s">
        <v>186</v>
      </c>
      <c r="K6" s="21"/>
      <c r="N6" s="16" t="s">
        <v>150</v>
      </c>
      <c r="O6" s="16" t="s">
        <v>150</v>
      </c>
    </row>
    <row r="7" spans="1:15" x14ac:dyDescent="0.25">
      <c r="A7" s="12">
        <v>23</v>
      </c>
      <c r="B7" s="8" t="s">
        <v>6</v>
      </c>
      <c r="C7" s="8" t="str">
        <f t="shared" si="0"/>
        <v>Andy</v>
      </c>
      <c r="D7" s="8" t="str">
        <f t="shared" si="1"/>
        <v>Chow</v>
      </c>
      <c r="E7" s="8">
        <f t="shared" si="2"/>
        <v>5</v>
      </c>
      <c r="F7" s="8">
        <f t="shared" si="3"/>
        <v>9</v>
      </c>
      <c r="G7" s="7">
        <v>30</v>
      </c>
      <c r="H7" s="8" t="s">
        <v>63</v>
      </c>
      <c r="I7" s="29"/>
      <c r="J7" s="29" t="s">
        <v>186</v>
      </c>
      <c r="K7" s="21"/>
      <c r="N7" s="16" t="s">
        <v>150</v>
      </c>
      <c r="O7" s="16" t="s">
        <v>150</v>
      </c>
    </row>
    <row r="8" spans="1:15" x14ac:dyDescent="0.25">
      <c r="A8" s="12">
        <v>25</v>
      </c>
      <c r="B8" s="8" t="s">
        <v>7</v>
      </c>
      <c r="C8" s="8" t="str">
        <f t="shared" si="0"/>
        <v>Dave</v>
      </c>
      <c r="D8" s="8" t="str">
        <f t="shared" si="1"/>
        <v>Burnham</v>
      </c>
      <c r="E8" s="8">
        <f t="shared" si="2"/>
        <v>5</v>
      </c>
      <c r="F8" s="8">
        <f t="shared" si="3"/>
        <v>12</v>
      </c>
      <c r="G8" s="7">
        <v>30</v>
      </c>
      <c r="H8" s="8" t="s">
        <v>63</v>
      </c>
      <c r="I8" s="29"/>
      <c r="J8" s="29" t="s">
        <v>186</v>
      </c>
      <c r="K8" s="21"/>
      <c r="N8" s="16" t="s">
        <v>150</v>
      </c>
      <c r="O8" s="16" t="s">
        <v>150</v>
      </c>
    </row>
    <row r="9" spans="1:15" x14ac:dyDescent="0.25">
      <c r="A9" s="12">
        <v>22</v>
      </c>
      <c r="B9" s="8" t="s">
        <v>12</v>
      </c>
      <c r="C9" s="8" t="str">
        <f t="shared" si="0"/>
        <v>Alex</v>
      </c>
      <c r="D9" s="8" t="str">
        <f t="shared" si="1"/>
        <v>Hambrock</v>
      </c>
      <c r="E9" s="8">
        <f t="shared" si="2"/>
        <v>5</v>
      </c>
      <c r="F9" s="8">
        <f t="shared" si="3"/>
        <v>13</v>
      </c>
      <c r="G9" s="7">
        <v>35</v>
      </c>
      <c r="H9" s="8" t="s">
        <v>63</v>
      </c>
      <c r="I9" s="29"/>
      <c r="J9" s="29" t="s">
        <v>186</v>
      </c>
      <c r="K9" s="21"/>
      <c r="N9" s="16" t="s">
        <v>150</v>
      </c>
      <c r="O9" s="16" t="s">
        <v>150</v>
      </c>
    </row>
    <row r="10" spans="1:15" x14ac:dyDescent="0.25">
      <c r="A10">
        <v>42</v>
      </c>
      <c r="B10" s="8" t="s">
        <v>15</v>
      </c>
      <c r="C10" s="8" t="str">
        <f t="shared" si="0"/>
        <v>Blaine</v>
      </c>
      <c r="D10" s="8" t="str">
        <f t="shared" si="1"/>
        <v>Gibis</v>
      </c>
      <c r="E10" s="8">
        <f t="shared" si="2"/>
        <v>7</v>
      </c>
      <c r="F10" s="8">
        <f t="shared" si="3"/>
        <v>12</v>
      </c>
      <c r="G10" s="7">
        <v>40</v>
      </c>
      <c r="H10" s="8" t="s">
        <v>63</v>
      </c>
      <c r="I10" s="29"/>
      <c r="J10" s="29" t="s">
        <v>186</v>
      </c>
      <c r="K10" s="21"/>
      <c r="N10" s="16" t="s">
        <v>150</v>
      </c>
      <c r="O10" s="16" t="s">
        <v>150</v>
      </c>
    </row>
    <row r="11" spans="1:15" x14ac:dyDescent="0.25">
      <c r="A11">
        <v>49</v>
      </c>
      <c r="B11" s="8" t="s">
        <v>5</v>
      </c>
      <c r="C11" s="8" t="str">
        <f t="shared" si="0"/>
        <v>Nick</v>
      </c>
      <c r="D11" s="8" t="str">
        <f t="shared" si="1"/>
        <v>Larson</v>
      </c>
      <c r="E11" s="8">
        <f t="shared" si="2"/>
        <v>5</v>
      </c>
      <c r="F11" s="8">
        <f t="shared" si="3"/>
        <v>11</v>
      </c>
      <c r="G11" s="7">
        <v>40</v>
      </c>
      <c r="H11" s="8" t="s">
        <v>63</v>
      </c>
      <c r="I11" s="29"/>
      <c r="J11" s="29" t="s">
        <v>186</v>
      </c>
      <c r="K11" s="21"/>
      <c r="N11" s="16" t="s">
        <v>150</v>
      </c>
      <c r="O11" s="16" t="s">
        <v>150</v>
      </c>
    </row>
    <row r="12" spans="1:15" x14ac:dyDescent="0.25">
      <c r="A12">
        <v>51</v>
      </c>
      <c r="B12" s="8" t="s">
        <v>73</v>
      </c>
      <c r="C12" s="8" t="str">
        <f t="shared" si="0"/>
        <v>Wendy</v>
      </c>
      <c r="D12" s="8" t="str">
        <f t="shared" si="1"/>
        <v>Batz</v>
      </c>
      <c r="E12" s="8">
        <f t="shared" si="2"/>
        <v>6</v>
      </c>
      <c r="F12" s="8">
        <f t="shared" si="3"/>
        <v>10</v>
      </c>
      <c r="G12" s="7">
        <v>40</v>
      </c>
      <c r="H12" s="8" t="s">
        <v>63</v>
      </c>
      <c r="I12" s="29"/>
      <c r="J12" s="29" t="s">
        <v>186</v>
      </c>
      <c r="K12" s="21"/>
      <c r="L12" s="12"/>
      <c r="M12" s="12"/>
      <c r="N12" s="16" t="s">
        <v>150</v>
      </c>
      <c r="O12" s="16" t="s">
        <v>150</v>
      </c>
    </row>
    <row r="13" spans="1:15" x14ac:dyDescent="0.25">
      <c r="A13">
        <v>57</v>
      </c>
      <c r="B13" s="8" t="s">
        <v>8</v>
      </c>
      <c r="C13" s="8" t="str">
        <f t="shared" si="0"/>
        <v>Lori</v>
      </c>
      <c r="D13" s="8" t="str">
        <f t="shared" si="1"/>
        <v>Norberg</v>
      </c>
      <c r="E13" s="8">
        <f t="shared" si="2"/>
        <v>5</v>
      </c>
      <c r="F13" s="8">
        <f t="shared" si="3"/>
        <v>12</v>
      </c>
      <c r="G13" s="7">
        <v>45</v>
      </c>
      <c r="H13" s="8" t="s">
        <v>63</v>
      </c>
      <c r="I13" s="29"/>
      <c r="J13" s="29" t="s">
        <v>186</v>
      </c>
      <c r="K13" s="21"/>
    </row>
    <row r="14" spans="1:15" x14ac:dyDescent="0.25">
      <c r="A14">
        <v>56</v>
      </c>
      <c r="B14" s="8" t="s">
        <v>60</v>
      </c>
      <c r="C14" s="8" t="str">
        <f t="shared" si="0"/>
        <v>Keri</v>
      </c>
      <c r="D14" s="8" t="str">
        <f t="shared" si="1"/>
        <v>Anderson</v>
      </c>
      <c r="E14" s="8">
        <f t="shared" si="2"/>
        <v>5</v>
      </c>
      <c r="F14" s="8">
        <f t="shared" si="3"/>
        <v>13</v>
      </c>
      <c r="G14" s="7">
        <v>45</v>
      </c>
      <c r="H14" s="8"/>
      <c r="I14" s="29"/>
      <c r="J14" s="29" t="s">
        <v>204</v>
      </c>
      <c r="K14" s="21"/>
    </row>
    <row r="15" spans="1:15" x14ac:dyDescent="0.25">
      <c r="A15">
        <v>33</v>
      </c>
      <c r="B15" s="8" t="s">
        <v>103</v>
      </c>
      <c r="C15" s="8" t="str">
        <f t="shared" si="0"/>
        <v>John</v>
      </c>
      <c r="D15" s="8" t="str">
        <f t="shared" si="1"/>
        <v>Gann</v>
      </c>
      <c r="E15" s="8">
        <f t="shared" si="2"/>
        <v>5</v>
      </c>
      <c r="F15" s="8">
        <f t="shared" si="3"/>
        <v>9</v>
      </c>
      <c r="G15" s="7">
        <v>35</v>
      </c>
      <c r="H15" s="8" t="s">
        <v>107</v>
      </c>
      <c r="I15" s="29"/>
      <c r="J15" s="29" t="s">
        <v>220</v>
      </c>
      <c r="K15" s="21"/>
      <c r="M15" s="16" t="s">
        <v>150</v>
      </c>
      <c r="N15" s="16" t="s">
        <v>150</v>
      </c>
      <c r="O15" s="16" t="s">
        <v>150</v>
      </c>
    </row>
    <row r="16" spans="1:15" x14ac:dyDescent="0.25">
      <c r="A16">
        <v>43</v>
      </c>
      <c r="B16" s="8" t="s">
        <v>120</v>
      </c>
      <c r="C16" s="8" t="str">
        <f t="shared" si="0"/>
        <v>Brad</v>
      </c>
      <c r="D16" s="8" t="str">
        <f t="shared" si="1"/>
        <v>Ashton</v>
      </c>
      <c r="E16" s="8">
        <f t="shared" si="2"/>
        <v>5</v>
      </c>
      <c r="F16" s="8">
        <f t="shared" si="3"/>
        <v>11</v>
      </c>
      <c r="G16" s="7">
        <v>40</v>
      </c>
      <c r="H16" s="8"/>
      <c r="I16" s="29"/>
      <c r="J16" s="29" t="s">
        <v>208</v>
      </c>
      <c r="K16" s="21"/>
      <c r="N16" s="16" t="s">
        <v>150</v>
      </c>
      <c r="O16" s="16" t="s">
        <v>150</v>
      </c>
    </row>
    <row r="17" spans="1:15" s="12" customFormat="1" x14ac:dyDescent="0.25">
      <c r="A17">
        <v>46</v>
      </c>
      <c r="B17" s="8" t="s">
        <v>130</v>
      </c>
      <c r="C17" s="8" t="str">
        <f t="shared" si="0"/>
        <v>Kyle</v>
      </c>
      <c r="D17" s="8" t="str">
        <f t="shared" si="1"/>
        <v>Pitts</v>
      </c>
      <c r="E17" s="8">
        <f t="shared" si="2"/>
        <v>5</v>
      </c>
      <c r="F17" s="8">
        <f t="shared" si="3"/>
        <v>10</v>
      </c>
      <c r="G17" s="7">
        <v>40</v>
      </c>
      <c r="H17" s="8"/>
      <c r="I17" s="29"/>
      <c r="J17" s="29" t="s">
        <v>200</v>
      </c>
      <c r="K17" s="21"/>
      <c r="L17"/>
      <c r="M17"/>
      <c r="N17" s="16" t="s">
        <v>150</v>
      </c>
      <c r="O17" s="16" t="s">
        <v>150</v>
      </c>
    </row>
    <row r="18" spans="1:15" s="12" customFormat="1" x14ac:dyDescent="0.25">
      <c r="A18">
        <v>66</v>
      </c>
      <c r="B18" s="8" t="s">
        <v>201</v>
      </c>
      <c r="C18" s="8" t="str">
        <f t="shared" si="0"/>
        <v>Mike</v>
      </c>
      <c r="D18" s="8" t="str">
        <f t="shared" si="1"/>
        <v>Kroulik</v>
      </c>
      <c r="E18" s="8">
        <f t="shared" si="2"/>
        <v>5</v>
      </c>
      <c r="F18" s="8">
        <f t="shared" si="3"/>
        <v>12</v>
      </c>
      <c r="G18" s="7">
        <v>70</v>
      </c>
      <c r="H18" s="8"/>
      <c r="I18" s="29"/>
      <c r="J18" s="29" t="s">
        <v>200</v>
      </c>
      <c r="K18" s="21"/>
      <c r="L18"/>
      <c r="M18"/>
      <c r="N18"/>
      <c r="O18"/>
    </row>
    <row r="19" spans="1:15" x14ac:dyDescent="0.25">
      <c r="A19">
        <v>67</v>
      </c>
      <c r="B19" s="8" t="s">
        <v>71</v>
      </c>
      <c r="C19" s="8" t="str">
        <f t="shared" si="0"/>
        <v>Peter</v>
      </c>
      <c r="D19" s="8" t="str">
        <f t="shared" si="1"/>
        <v>Fox</v>
      </c>
      <c r="E19" s="8">
        <f t="shared" si="2"/>
        <v>6</v>
      </c>
      <c r="F19" s="8">
        <f t="shared" si="3"/>
        <v>9</v>
      </c>
      <c r="G19" s="7">
        <v>70</v>
      </c>
      <c r="H19" s="8"/>
      <c r="I19" s="29"/>
      <c r="J19" s="29" t="s">
        <v>200</v>
      </c>
      <c r="K19" s="21"/>
    </row>
    <row r="20" spans="1:15" x14ac:dyDescent="0.25">
      <c r="A20">
        <v>47</v>
      </c>
      <c r="B20" s="8" t="s">
        <v>157</v>
      </c>
      <c r="C20" s="8" t="str">
        <f t="shared" si="0"/>
        <v>Melanie</v>
      </c>
      <c r="D20" s="8" t="str">
        <f t="shared" si="1"/>
        <v>Anderson</v>
      </c>
      <c r="E20" s="8">
        <f t="shared" si="2"/>
        <v>8</v>
      </c>
      <c r="F20" s="8">
        <f t="shared" si="3"/>
        <v>16</v>
      </c>
      <c r="G20" s="7">
        <v>40</v>
      </c>
      <c r="H20" s="8"/>
      <c r="I20" s="29"/>
      <c r="J20" s="29" t="s">
        <v>203</v>
      </c>
      <c r="K20" s="21"/>
      <c r="N20" s="16" t="s">
        <v>150</v>
      </c>
      <c r="O20" s="16" t="s">
        <v>150</v>
      </c>
    </row>
    <row r="21" spans="1:15" x14ac:dyDescent="0.25">
      <c r="A21">
        <v>59</v>
      </c>
      <c r="B21" s="8" t="s">
        <v>83</v>
      </c>
      <c r="C21" s="8" t="str">
        <f t="shared" si="0"/>
        <v>Melani</v>
      </c>
      <c r="D21" s="8" t="str">
        <f t="shared" si="1"/>
        <v>Weber</v>
      </c>
      <c r="E21" s="8">
        <f t="shared" si="2"/>
        <v>7</v>
      </c>
      <c r="F21" s="8">
        <f t="shared" si="3"/>
        <v>12</v>
      </c>
      <c r="G21" s="7">
        <v>45</v>
      </c>
      <c r="H21" s="8"/>
      <c r="I21" s="29"/>
      <c r="J21" s="29" t="s">
        <v>203</v>
      </c>
      <c r="K21" s="21"/>
    </row>
    <row r="22" spans="1:15" x14ac:dyDescent="0.25">
      <c r="A22">
        <v>52</v>
      </c>
      <c r="B22" s="8" t="s">
        <v>98</v>
      </c>
      <c r="C22" s="8" t="str">
        <f t="shared" si="0"/>
        <v>Alison</v>
      </c>
      <c r="D22" s="8" t="str">
        <f t="shared" si="1"/>
        <v>Doering</v>
      </c>
      <c r="E22" s="8">
        <f t="shared" si="2"/>
        <v>7</v>
      </c>
      <c r="F22" s="8">
        <f t="shared" si="3"/>
        <v>14</v>
      </c>
      <c r="G22" s="7">
        <v>45</v>
      </c>
      <c r="H22" s="8"/>
      <c r="I22" s="29"/>
      <c r="J22" s="29" t="s">
        <v>205</v>
      </c>
      <c r="K22" s="21"/>
    </row>
    <row r="23" spans="1:15" s="12" customFormat="1" x14ac:dyDescent="0.25">
      <c r="A23">
        <v>50</v>
      </c>
      <c r="B23" s="8" t="s">
        <v>128</v>
      </c>
      <c r="C23" s="8" t="str">
        <f t="shared" si="0"/>
        <v>Phil</v>
      </c>
      <c r="D23" s="8" t="str">
        <f t="shared" si="1"/>
        <v>Essington</v>
      </c>
      <c r="E23" s="8">
        <f t="shared" si="2"/>
        <v>5</v>
      </c>
      <c r="F23" s="8">
        <f t="shared" si="3"/>
        <v>14</v>
      </c>
      <c r="G23" s="7">
        <v>40</v>
      </c>
      <c r="H23" s="8"/>
      <c r="I23" s="29"/>
      <c r="J23" s="29" t="s">
        <v>206</v>
      </c>
      <c r="K23" s="21"/>
      <c r="L23"/>
      <c r="M23"/>
      <c r="N23" s="16" t="s">
        <v>150</v>
      </c>
      <c r="O23" s="16" t="s">
        <v>150</v>
      </c>
    </row>
    <row r="24" spans="1:15" x14ac:dyDescent="0.25">
      <c r="A24">
        <v>45</v>
      </c>
      <c r="B24" s="8" t="s">
        <v>137</v>
      </c>
      <c r="C24" s="8" t="str">
        <f t="shared" si="0"/>
        <v>Kimberly</v>
      </c>
      <c r="D24" s="8" t="str">
        <f t="shared" si="1"/>
        <v>Myers</v>
      </c>
      <c r="E24" s="8">
        <f t="shared" si="2"/>
        <v>9</v>
      </c>
      <c r="F24" s="8">
        <f t="shared" si="3"/>
        <v>14</v>
      </c>
      <c r="G24" s="7">
        <v>40</v>
      </c>
      <c r="H24" s="8"/>
      <c r="I24" s="29"/>
      <c r="J24" s="29" t="s">
        <v>207</v>
      </c>
      <c r="K24" s="21"/>
      <c r="N24" s="16" t="s">
        <v>150</v>
      </c>
      <c r="O24" s="16" t="s">
        <v>150</v>
      </c>
    </row>
    <row r="25" spans="1:15" x14ac:dyDescent="0.25">
      <c r="A25">
        <v>41</v>
      </c>
      <c r="B25" s="8" t="s">
        <v>209</v>
      </c>
      <c r="C25" s="8" t="str">
        <f t="shared" si="0"/>
        <v>Anthony</v>
      </c>
      <c r="D25" s="8" t="str">
        <f t="shared" si="1"/>
        <v>Velte</v>
      </c>
      <c r="E25" s="8">
        <f t="shared" si="2"/>
        <v>8</v>
      </c>
      <c r="F25" s="8">
        <f t="shared" si="3"/>
        <v>13</v>
      </c>
      <c r="G25" s="7">
        <v>40</v>
      </c>
      <c r="H25" s="8" t="s">
        <v>156</v>
      </c>
      <c r="I25" s="29"/>
      <c r="J25" s="29" t="s">
        <v>210</v>
      </c>
      <c r="K25" s="21"/>
      <c r="N25" s="16" t="s">
        <v>150</v>
      </c>
      <c r="O25" s="16" t="s">
        <v>150</v>
      </c>
    </row>
    <row r="26" spans="1:15" x14ac:dyDescent="0.25">
      <c r="A26" s="12">
        <v>11</v>
      </c>
      <c r="B26" s="8" t="s">
        <v>26</v>
      </c>
      <c r="C26" s="8" t="str">
        <f t="shared" si="0"/>
        <v>Lucia</v>
      </c>
      <c r="D26" s="8" t="str">
        <f t="shared" si="1"/>
        <v>Yess</v>
      </c>
      <c r="E26" s="8">
        <f t="shared" si="2"/>
        <v>6</v>
      </c>
      <c r="F26" s="8">
        <f t="shared" si="3"/>
        <v>10</v>
      </c>
      <c r="G26" s="7">
        <v>20</v>
      </c>
      <c r="H26" s="8" t="s">
        <v>57</v>
      </c>
      <c r="I26" s="29"/>
      <c r="J26" s="29" t="s">
        <v>187</v>
      </c>
      <c r="K26" s="21"/>
      <c r="N26" s="2" t="s">
        <v>150</v>
      </c>
      <c r="O26" s="2" t="s">
        <v>150</v>
      </c>
    </row>
    <row r="27" spans="1:15" x14ac:dyDescent="0.25">
      <c r="A27" s="12">
        <v>28</v>
      </c>
      <c r="B27" s="8" t="s">
        <v>13</v>
      </c>
      <c r="C27" s="8" t="str">
        <f t="shared" si="0"/>
        <v>John</v>
      </c>
      <c r="D27" s="8" t="str">
        <f t="shared" si="1"/>
        <v>Scully</v>
      </c>
      <c r="E27" s="8">
        <f t="shared" si="2"/>
        <v>5</v>
      </c>
      <c r="F27" s="8">
        <f t="shared" si="3"/>
        <v>11</v>
      </c>
      <c r="G27" s="7">
        <v>30</v>
      </c>
      <c r="H27" s="8" t="s">
        <v>65</v>
      </c>
      <c r="I27" s="29"/>
      <c r="J27" s="29" t="s">
        <v>187</v>
      </c>
      <c r="K27" s="21"/>
      <c r="N27" s="16" t="s">
        <v>150</v>
      </c>
      <c r="O27" s="16" t="s">
        <v>150</v>
      </c>
    </row>
    <row r="28" spans="1:15" x14ac:dyDescent="0.25">
      <c r="A28" s="12">
        <v>24</v>
      </c>
      <c r="B28" s="8" t="s">
        <v>141</v>
      </c>
      <c r="C28" s="8" t="str">
        <f t="shared" si="0"/>
        <v>Collin</v>
      </c>
      <c r="D28" s="8" t="str">
        <f t="shared" si="1"/>
        <v>Forsyth</v>
      </c>
      <c r="E28" s="8">
        <f t="shared" si="2"/>
        <v>7</v>
      </c>
      <c r="F28" s="8">
        <f t="shared" si="3"/>
        <v>14</v>
      </c>
      <c r="G28" s="7">
        <v>30</v>
      </c>
      <c r="H28" s="8"/>
      <c r="I28" s="29"/>
      <c r="J28" s="29" t="s">
        <v>187</v>
      </c>
      <c r="K28" s="21"/>
      <c r="N28" s="16" t="s">
        <v>150</v>
      </c>
      <c r="O28" s="16" t="s">
        <v>150</v>
      </c>
    </row>
    <row r="29" spans="1:15" x14ac:dyDescent="0.25">
      <c r="A29" s="12">
        <v>26</v>
      </c>
      <c r="B29" s="8" t="s">
        <v>14</v>
      </c>
      <c r="C29" s="8" t="str">
        <f t="shared" si="0"/>
        <v>Fredrick</v>
      </c>
      <c r="D29" s="8" t="str">
        <f t="shared" si="1"/>
        <v>Haugen</v>
      </c>
      <c r="E29" s="8">
        <f t="shared" si="2"/>
        <v>9</v>
      </c>
      <c r="F29" s="8">
        <f t="shared" si="3"/>
        <v>15</v>
      </c>
      <c r="G29" s="7">
        <v>30</v>
      </c>
      <c r="H29" s="8" t="s">
        <v>58</v>
      </c>
      <c r="I29" s="29"/>
      <c r="J29" s="29" t="s">
        <v>187</v>
      </c>
      <c r="K29" s="21"/>
      <c r="N29" s="16" t="s">
        <v>150</v>
      </c>
      <c r="O29" s="16" t="s">
        <v>150</v>
      </c>
    </row>
    <row r="30" spans="1:15" x14ac:dyDescent="0.25">
      <c r="A30">
        <v>48</v>
      </c>
      <c r="B30" s="8" t="s">
        <v>20</v>
      </c>
      <c r="C30" s="8" t="str">
        <f t="shared" si="0"/>
        <v>Mike</v>
      </c>
      <c r="D30" s="8" t="str">
        <f t="shared" si="1"/>
        <v>Nieland</v>
      </c>
      <c r="E30" s="8">
        <f t="shared" si="2"/>
        <v>5</v>
      </c>
      <c r="F30" s="8">
        <f t="shared" si="3"/>
        <v>12</v>
      </c>
      <c r="G30" s="7">
        <v>40</v>
      </c>
      <c r="H30" s="8" t="s">
        <v>65</v>
      </c>
      <c r="I30" s="29"/>
      <c r="J30" s="29" t="s">
        <v>187</v>
      </c>
      <c r="K30" s="21"/>
      <c r="N30" s="16" t="s">
        <v>150</v>
      </c>
      <c r="O30" s="16" t="s">
        <v>150</v>
      </c>
    </row>
    <row r="31" spans="1:15" x14ac:dyDescent="0.25">
      <c r="A31">
        <v>53</v>
      </c>
      <c r="B31" s="8" t="s">
        <v>143</v>
      </c>
      <c r="C31" s="8" t="str">
        <f t="shared" si="0"/>
        <v>Dom</v>
      </c>
      <c r="D31" s="8" t="str">
        <f t="shared" si="1"/>
        <v>Poulin</v>
      </c>
      <c r="E31" s="8">
        <f t="shared" si="2"/>
        <v>4</v>
      </c>
      <c r="F31" s="8">
        <f t="shared" si="3"/>
        <v>10</v>
      </c>
      <c r="G31" s="7">
        <v>45</v>
      </c>
      <c r="H31" s="8"/>
      <c r="I31" s="29"/>
      <c r="J31" s="29" t="s">
        <v>187</v>
      </c>
      <c r="K31" s="21"/>
    </row>
    <row r="32" spans="1:15" x14ac:dyDescent="0.25">
      <c r="A32">
        <v>58</v>
      </c>
      <c r="B32" s="8" t="s">
        <v>27</v>
      </c>
      <c r="C32" s="8" t="str">
        <f t="shared" si="0"/>
        <v>Mat</v>
      </c>
      <c r="D32" s="8" t="str">
        <f t="shared" si="1"/>
        <v>Kvidera</v>
      </c>
      <c r="E32" s="8">
        <f t="shared" si="2"/>
        <v>4</v>
      </c>
      <c r="F32" s="8">
        <f t="shared" si="3"/>
        <v>11</v>
      </c>
      <c r="G32" s="7">
        <v>45</v>
      </c>
      <c r="H32" s="8" t="s">
        <v>65</v>
      </c>
      <c r="I32" s="29"/>
      <c r="J32" s="29" t="s">
        <v>187</v>
      </c>
      <c r="K32" s="21"/>
    </row>
    <row r="33" spans="1:15" x14ac:dyDescent="0.25">
      <c r="A33">
        <v>63</v>
      </c>
      <c r="B33" s="8" t="s">
        <v>53</v>
      </c>
      <c r="C33" s="8" t="str">
        <f t="shared" si="0"/>
        <v>Garrett</v>
      </c>
      <c r="D33" s="8" t="str">
        <f t="shared" si="1"/>
        <v>Haugstad</v>
      </c>
      <c r="E33" s="8">
        <f t="shared" si="2"/>
        <v>8</v>
      </c>
      <c r="F33" s="8">
        <f t="shared" si="3"/>
        <v>16</v>
      </c>
      <c r="G33" s="7">
        <v>70</v>
      </c>
      <c r="H33" s="8" t="s">
        <v>56</v>
      </c>
      <c r="I33" s="29"/>
      <c r="J33" s="29" t="s">
        <v>187</v>
      </c>
      <c r="K33" s="21"/>
    </row>
    <row r="34" spans="1:15" x14ac:dyDescent="0.25">
      <c r="A34" s="12">
        <v>68</v>
      </c>
      <c r="B34" s="8" t="s">
        <v>19</v>
      </c>
      <c r="C34" s="8" t="str">
        <f t="shared" ref="C34:C65" si="4">LEFT(B34, E34-1)</f>
        <v>Tyler</v>
      </c>
      <c r="D34" s="8" t="str">
        <f t="shared" ref="D34:D65" si="5">RIGHT(B34, F34-E34)</f>
        <v>Kilbury</v>
      </c>
      <c r="E34" s="8">
        <f t="shared" ref="E34:E65" si="6">FIND(" ",B34)</f>
        <v>6</v>
      </c>
      <c r="F34" s="8">
        <f t="shared" ref="F34:F65" si="7">LEN(B34)</f>
        <v>13</v>
      </c>
      <c r="G34" s="7">
        <v>70</v>
      </c>
      <c r="H34" s="8" t="s">
        <v>56</v>
      </c>
      <c r="I34" s="29"/>
      <c r="J34" s="29" t="s">
        <v>187</v>
      </c>
      <c r="K34" s="21"/>
      <c r="L34" s="12"/>
      <c r="M34" s="12"/>
      <c r="N34" s="12"/>
      <c r="O34" s="12"/>
    </row>
    <row r="35" spans="1:15" x14ac:dyDescent="0.25">
      <c r="A35">
        <v>73</v>
      </c>
      <c r="B35" s="8" t="s">
        <v>11</v>
      </c>
      <c r="C35" s="8" t="str">
        <f t="shared" si="4"/>
        <v>Kirstie</v>
      </c>
      <c r="D35" s="8" t="str">
        <f t="shared" si="5"/>
        <v>Kimball</v>
      </c>
      <c r="E35" s="8">
        <f t="shared" si="6"/>
        <v>8</v>
      </c>
      <c r="F35" s="8">
        <f t="shared" si="7"/>
        <v>15</v>
      </c>
      <c r="G35" s="7">
        <v>125</v>
      </c>
      <c r="H35" s="8" t="s">
        <v>65</v>
      </c>
      <c r="I35" s="29"/>
      <c r="J35" s="29" t="s">
        <v>187</v>
      </c>
      <c r="K35" s="21"/>
      <c r="L35" s="12"/>
      <c r="M35" s="12"/>
      <c r="N35" s="16" t="s">
        <v>150</v>
      </c>
      <c r="O35" s="16" t="s">
        <v>150</v>
      </c>
    </row>
    <row r="36" spans="1:15" x14ac:dyDescent="0.25">
      <c r="A36" s="12" t="s">
        <v>178</v>
      </c>
      <c r="B36" s="8" t="s">
        <v>122</v>
      </c>
      <c r="C36" s="8" t="str">
        <f t="shared" si="4"/>
        <v>Mike</v>
      </c>
      <c r="D36" s="8" t="str">
        <f t="shared" si="5"/>
        <v>Schumaker</v>
      </c>
      <c r="E36" s="8">
        <f t="shared" si="6"/>
        <v>5</v>
      </c>
      <c r="F36" s="8">
        <f t="shared" si="7"/>
        <v>14</v>
      </c>
      <c r="G36" s="7">
        <v>200</v>
      </c>
      <c r="H36" s="8" t="s">
        <v>65</v>
      </c>
      <c r="I36" s="29" t="s">
        <v>194</v>
      </c>
      <c r="J36" s="29" t="s">
        <v>187</v>
      </c>
      <c r="K36" s="21" t="s">
        <v>176</v>
      </c>
      <c r="L36" s="2" t="s">
        <v>150</v>
      </c>
      <c r="M36" s="2" t="s">
        <v>150</v>
      </c>
      <c r="N36" s="2" t="s">
        <v>150</v>
      </c>
      <c r="O36" s="2" t="s">
        <v>150</v>
      </c>
    </row>
    <row r="37" spans="1:15" x14ac:dyDescent="0.25">
      <c r="A37" t="s">
        <v>178</v>
      </c>
      <c r="B37" s="8" t="s">
        <v>28</v>
      </c>
      <c r="C37" s="8" t="str">
        <f t="shared" si="4"/>
        <v>Patrick</v>
      </c>
      <c r="D37" s="8" t="str">
        <f t="shared" si="5"/>
        <v>Fuentes</v>
      </c>
      <c r="E37" s="8">
        <f t="shared" si="6"/>
        <v>8</v>
      </c>
      <c r="F37" s="8">
        <f t="shared" si="7"/>
        <v>15</v>
      </c>
      <c r="G37" s="7">
        <v>0</v>
      </c>
      <c r="H37" s="8" t="s">
        <v>179</v>
      </c>
      <c r="I37" s="29" t="s">
        <v>193</v>
      </c>
      <c r="J37" s="29" t="s">
        <v>184</v>
      </c>
      <c r="K37" s="21" t="s">
        <v>176</v>
      </c>
      <c r="L37" s="2" t="s">
        <v>150</v>
      </c>
      <c r="M37" s="2" t="s">
        <v>150</v>
      </c>
      <c r="N37" s="2" t="s">
        <v>150</v>
      </c>
      <c r="O37" s="2" t="s">
        <v>150</v>
      </c>
    </row>
    <row r="38" spans="1:15" x14ac:dyDescent="0.25">
      <c r="A38">
        <v>71</v>
      </c>
      <c r="B38" s="8" t="s">
        <v>140</v>
      </c>
      <c r="C38" s="8" t="str">
        <f t="shared" si="4"/>
        <v>Joel</v>
      </c>
      <c r="D38" s="8" t="str">
        <f t="shared" si="5"/>
        <v>Wuorio</v>
      </c>
      <c r="E38" s="8">
        <f t="shared" si="6"/>
        <v>5</v>
      </c>
      <c r="F38" s="8">
        <f t="shared" si="7"/>
        <v>11</v>
      </c>
      <c r="G38" s="7">
        <v>125</v>
      </c>
      <c r="H38" s="8"/>
      <c r="I38" s="29"/>
      <c r="J38" s="29" t="s">
        <v>184</v>
      </c>
      <c r="K38" s="21"/>
      <c r="N38" s="16" t="s">
        <v>150</v>
      </c>
      <c r="O38" s="16" t="s">
        <v>150</v>
      </c>
    </row>
    <row r="39" spans="1:15" x14ac:dyDescent="0.25">
      <c r="A39">
        <v>44</v>
      </c>
      <c r="B39" s="8" t="s">
        <v>136</v>
      </c>
      <c r="C39" s="8" t="str">
        <f t="shared" si="4"/>
        <v>Joe</v>
      </c>
      <c r="D39" s="8" t="str">
        <f t="shared" si="5"/>
        <v>Merighi</v>
      </c>
      <c r="E39" s="8">
        <f t="shared" si="6"/>
        <v>4</v>
      </c>
      <c r="F39" s="8">
        <f t="shared" si="7"/>
        <v>11</v>
      </c>
      <c r="G39" s="7">
        <v>40</v>
      </c>
      <c r="H39" s="8"/>
      <c r="I39" s="29"/>
      <c r="J39" s="29" t="s">
        <v>188</v>
      </c>
      <c r="K39" s="21"/>
      <c r="N39" s="16" t="s">
        <v>150</v>
      </c>
      <c r="O39" s="16" t="s">
        <v>150</v>
      </c>
    </row>
    <row r="40" spans="1:15" s="12" customFormat="1" x14ac:dyDescent="0.25">
      <c r="A40">
        <v>44</v>
      </c>
      <c r="B40" s="8" t="s">
        <v>75</v>
      </c>
      <c r="C40" s="8" t="str">
        <f t="shared" si="4"/>
        <v>Joseph</v>
      </c>
      <c r="D40" s="8" t="str">
        <f t="shared" si="5"/>
        <v>Merighi</v>
      </c>
      <c r="E40" s="8">
        <f t="shared" si="6"/>
        <v>7</v>
      </c>
      <c r="F40" s="8">
        <f t="shared" si="7"/>
        <v>14</v>
      </c>
      <c r="G40" s="7">
        <v>40</v>
      </c>
      <c r="H40" s="8" t="s">
        <v>81</v>
      </c>
      <c r="I40" s="29"/>
      <c r="J40" s="29" t="s">
        <v>188</v>
      </c>
      <c r="K40" s="21"/>
      <c r="L40"/>
      <c r="M40"/>
      <c r="N40" s="16" t="s">
        <v>150</v>
      </c>
      <c r="O40" s="16" t="s">
        <v>150</v>
      </c>
    </row>
    <row r="41" spans="1:15" x14ac:dyDescent="0.25">
      <c r="A41">
        <v>60</v>
      </c>
      <c r="B41" s="8" t="s">
        <v>91</v>
      </c>
      <c r="C41" s="8" t="str">
        <f t="shared" si="4"/>
        <v>Randy</v>
      </c>
      <c r="D41" s="8" t="str">
        <f t="shared" si="5"/>
        <v>Miranda</v>
      </c>
      <c r="E41" s="8">
        <f t="shared" si="6"/>
        <v>6</v>
      </c>
      <c r="F41" s="8">
        <f t="shared" si="7"/>
        <v>13</v>
      </c>
      <c r="G41" s="7">
        <v>45</v>
      </c>
      <c r="H41" s="8" t="s">
        <v>81</v>
      </c>
      <c r="I41" s="29"/>
      <c r="J41" s="29" t="s">
        <v>188</v>
      </c>
      <c r="K41" s="21"/>
      <c r="L41" s="12"/>
      <c r="M41" s="12"/>
      <c r="N41" s="12"/>
      <c r="O41" s="12"/>
    </row>
    <row r="42" spans="1:15" x14ac:dyDescent="0.25">
      <c r="A42">
        <v>61</v>
      </c>
      <c r="B42" s="8" t="s">
        <v>68</v>
      </c>
      <c r="C42" s="8" t="str">
        <f t="shared" si="4"/>
        <v>Chad</v>
      </c>
      <c r="D42" s="8" t="str">
        <f t="shared" si="5"/>
        <v>Perlarski</v>
      </c>
      <c r="E42" s="8">
        <f t="shared" si="6"/>
        <v>5</v>
      </c>
      <c r="F42" s="8">
        <f t="shared" si="7"/>
        <v>14</v>
      </c>
      <c r="G42" s="7">
        <v>70</v>
      </c>
      <c r="H42" s="8" t="s">
        <v>55</v>
      </c>
      <c r="I42" s="29"/>
      <c r="J42" s="29" t="s">
        <v>188</v>
      </c>
      <c r="K42" s="21"/>
    </row>
    <row r="43" spans="1:15" x14ac:dyDescent="0.25">
      <c r="A43">
        <v>62</v>
      </c>
      <c r="B43" s="8" t="s">
        <v>78</v>
      </c>
      <c r="C43" s="8" t="str">
        <f t="shared" si="4"/>
        <v>Devin</v>
      </c>
      <c r="D43" s="8" t="str">
        <f t="shared" si="5"/>
        <v>Davies</v>
      </c>
      <c r="E43" s="8">
        <f t="shared" si="6"/>
        <v>6</v>
      </c>
      <c r="F43" s="8">
        <f t="shared" si="7"/>
        <v>12</v>
      </c>
      <c r="G43" s="7">
        <v>70</v>
      </c>
      <c r="H43" s="8" t="s">
        <v>81</v>
      </c>
      <c r="I43" s="29"/>
      <c r="J43" s="29" t="s">
        <v>188</v>
      </c>
      <c r="K43" s="21"/>
    </row>
    <row r="44" spans="1:15" x14ac:dyDescent="0.25">
      <c r="A44">
        <v>72</v>
      </c>
      <c r="B44" s="8" t="s">
        <v>77</v>
      </c>
      <c r="C44" s="8" t="str">
        <f t="shared" si="4"/>
        <v>Judy</v>
      </c>
      <c r="D44" s="8" t="str">
        <f t="shared" si="5"/>
        <v>Meath</v>
      </c>
      <c r="E44" s="8">
        <f t="shared" si="6"/>
        <v>5</v>
      </c>
      <c r="F44" s="8">
        <f t="shared" si="7"/>
        <v>10</v>
      </c>
      <c r="G44" s="7">
        <v>125</v>
      </c>
      <c r="H44" s="8" t="s">
        <v>81</v>
      </c>
      <c r="I44" s="29"/>
      <c r="J44" s="29" t="s">
        <v>188</v>
      </c>
      <c r="K44" s="21"/>
      <c r="N44" s="16" t="s">
        <v>150</v>
      </c>
      <c r="O44" s="16" t="s">
        <v>150</v>
      </c>
    </row>
    <row r="45" spans="1:15" x14ac:dyDescent="0.25">
      <c r="A45">
        <v>65</v>
      </c>
      <c r="B45" s="8" t="s">
        <v>132</v>
      </c>
      <c r="C45" s="8" t="str">
        <f t="shared" si="4"/>
        <v>Karin</v>
      </c>
      <c r="D45" s="8" t="str">
        <f t="shared" si="5"/>
        <v>Broecker</v>
      </c>
      <c r="E45" s="8">
        <f t="shared" si="6"/>
        <v>6</v>
      </c>
      <c r="F45" s="8">
        <f t="shared" si="7"/>
        <v>14</v>
      </c>
      <c r="G45" s="7">
        <v>70</v>
      </c>
      <c r="H45" s="8"/>
      <c r="I45" s="29"/>
      <c r="J45" s="29" t="s">
        <v>202</v>
      </c>
      <c r="K45" s="21"/>
    </row>
    <row r="46" spans="1:15" x14ac:dyDescent="0.25">
      <c r="B46" s="8" t="s">
        <v>125</v>
      </c>
      <c r="C46" s="8" t="str">
        <f t="shared" si="4"/>
        <v>Adrian</v>
      </c>
      <c r="D46" s="8" t="str">
        <f t="shared" si="5"/>
        <v>Moga</v>
      </c>
      <c r="E46" s="8">
        <f t="shared" si="6"/>
        <v>7</v>
      </c>
      <c r="F46" s="8">
        <f t="shared" si="7"/>
        <v>11</v>
      </c>
      <c r="G46" s="7">
        <v>1</v>
      </c>
      <c r="H46" s="8"/>
      <c r="I46" s="29"/>
      <c r="J46" s="29" t="s">
        <v>150</v>
      </c>
      <c r="K46" s="21" t="s">
        <v>176</v>
      </c>
      <c r="L46" s="2" t="s">
        <v>150</v>
      </c>
      <c r="M46" s="2" t="s">
        <v>150</v>
      </c>
      <c r="N46" s="2" t="s">
        <v>150</v>
      </c>
      <c r="O46" s="2" t="s">
        <v>150</v>
      </c>
    </row>
    <row r="47" spans="1:15" x14ac:dyDescent="0.25">
      <c r="A47" s="2"/>
      <c r="B47" s="8" t="s">
        <v>123</v>
      </c>
      <c r="C47" s="8" t="str">
        <f t="shared" si="4"/>
        <v>Alina</v>
      </c>
      <c r="D47" s="8" t="str">
        <f t="shared" si="5"/>
        <v>?</v>
      </c>
      <c r="E47" s="8">
        <f t="shared" si="6"/>
        <v>6</v>
      </c>
      <c r="F47" s="8">
        <f t="shared" si="7"/>
        <v>7</v>
      </c>
      <c r="G47" s="7">
        <v>1</v>
      </c>
      <c r="H47" s="8"/>
      <c r="I47" s="29"/>
      <c r="J47" s="29" t="s">
        <v>150</v>
      </c>
      <c r="K47" s="21" t="s">
        <v>176</v>
      </c>
      <c r="L47" s="2" t="s">
        <v>150</v>
      </c>
      <c r="M47" s="2" t="s">
        <v>150</v>
      </c>
      <c r="N47" s="2" t="s">
        <v>150</v>
      </c>
      <c r="O47" s="2" t="s">
        <v>150</v>
      </c>
    </row>
    <row r="48" spans="1:15" x14ac:dyDescent="0.25">
      <c r="B48" s="8" t="s">
        <v>134</v>
      </c>
      <c r="C48" s="8" t="str">
        <f t="shared" si="4"/>
        <v>Bill</v>
      </c>
      <c r="D48" s="8" t="str">
        <f t="shared" si="5"/>
        <v>Garcia-Solis</v>
      </c>
      <c r="E48" s="8">
        <f t="shared" si="6"/>
        <v>5</v>
      </c>
      <c r="F48" s="8">
        <f t="shared" si="7"/>
        <v>17</v>
      </c>
      <c r="G48" s="7">
        <v>1</v>
      </c>
      <c r="H48" s="8"/>
      <c r="I48" s="29"/>
      <c r="J48" s="29" t="s">
        <v>150</v>
      </c>
      <c r="K48" s="21" t="s">
        <v>176</v>
      </c>
      <c r="L48" s="2" t="s">
        <v>150</v>
      </c>
      <c r="M48" s="2" t="s">
        <v>150</v>
      </c>
      <c r="N48" s="2" t="s">
        <v>150</v>
      </c>
      <c r="O48" s="2" t="s">
        <v>150</v>
      </c>
    </row>
    <row r="49" spans="1:15" s="12" customFormat="1" x14ac:dyDescent="0.25">
      <c r="A49"/>
      <c r="B49" s="8" t="s">
        <v>135</v>
      </c>
      <c r="C49" s="8" t="str">
        <f t="shared" si="4"/>
        <v>Christopher</v>
      </c>
      <c r="D49" s="8" t="str">
        <f t="shared" si="5"/>
        <v>Denise</v>
      </c>
      <c r="E49" s="8">
        <f t="shared" si="6"/>
        <v>12</v>
      </c>
      <c r="F49" s="8">
        <f t="shared" si="7"/>
        <v>18</v>
      </c>
      <c r="G49" s="7">
        <v>1</v>
      </c>
      <c r="H49" s="8"/>
      <c r="I49" s="29"/>
      <c r="J49" s="29" t="s">
        <v>150</v>
      </c>
      <c r="K49" s="21" t="s">
        <v>176</v>
      </c>
      <c r="L49" s="2" t="s">
        <v>150</v>
      </c>
      <c r="M49" s="2" t="s">
        <v>150</v>
      </c>
      <c r="N49" s="2" t="s">
        <v>150</v>
      </c>
      <c r="O49" s="2" t="s">
        <v>150</v>
      </c>
    </row>
    <row r="50" spans="1:15" x14ac:dyDescent="0.25">
      <c r="B50" s="8" t="s">
        <v>85</v>
      </c>
      <c r="C50" s="8" t="str">
        <f t="shared" si="4"/>
        <v>Graeme</v>
      </c>
      <c r="D50" s="8" t="str">
        <f t="shared" si="5"/>
        <v>Thickins</v>
      </c>
      <c r="E50" s="8">
        <f t="shared" si="6"/>
        <v>7</v>
      </c>
      <c r="F50" s="8">
        <f t="shared" si="7"/>
        <v>15</v>
      </c>
      <c r="G50" s="7">
        <v>1</v>
      </c>
      <c r="H50" s="8"/>
      <c r="I50" s="29"/>
      <c r="J50" s="29" t="s">
        <v>150</v>
      </c>
      <c r="K50" s="21" t="s">
        <v>176</v>
      </c>
      <c r="L50" s="2" t="s">
        <v>150</v>
      </c>
      <c r="M50" s="2" t="s">
        <v>150</v>
      </c>
      <c r="N50" s="2" t="s">
        <v>150</v>
      </c>
      <c r="O50" s="2" t="s">
        <v>150</v>
      </c>
    </row>
    <row r="51" spans="1:15" x14ac:dyDescent="0.25">
      <c r="B51" s="8" t="s">
        <v>95</v>
      </c>
      <c r="C51" s="8" t="str">
        <f t="shared" si="4"/>
        <v>Kodee</v>
      </c>
      <c r="D51" s="8" t="str">
        <f t="shared" si="5"/>
        <v>Cahill</v>
      </c>
      <c r="E51" s="8">
        <f t="shared" si="6"/>
        <v>6</v>
      </c>
      <c r="F51" s="8">
        <f t="shared" si="7"/>
        <v>12</v>
      </c>
      <c r="G51" s="7">
        <v>1</v>
      </c>
      <c r="H51" s="8"/>
      <c r="I51" s="29"/>
      <c r="J51" s="29" t="s">
        <v>150</v>
      </c>
      <c r="K51" s="21" t="s">
        <v>176</v>
      </c>
      <c r="L51" s="2" t="s">
        <v>150</v>
      </c>
      <c r="M51" s="2" t="s">
        <v>150</v>
      </c>
      <c r="N51" s="2" t="s">
        <v>150</v>
      </c>
      <c r="O51" s="2" t="s">
        <v>150</v>
      </c>
    </row>
    <row r="52" spans="1:15" x14ac:dyDescent="0.25">
      <c r="B52" s="8" t="s">
        <v>84</v>
      </c>
      <c r="C52" s="8" t="str">
        <f t="shared" si="4"/>
        <v>Rob</v>
      </c>
      <c r="D52" s="8" t="str">
        <f t="shared" si="5"/>
        <v>Davis</v>
      </c>
      <c r="E52" s="8">
        <f t="shared" si="6"/>
        <v>4</v>
      </c>
      <c r="F52" s="8">
        <f t="shared" si="7"/>
        <v>9</v>
      </c>
      <c r="G52" s="7">
        <v>1</v>
      </c>
      <c r="H52" s="8"/>
      <c r="I52" s="29"/>
      <c r="J52" s="29" t="s">
        <v>150</v>
      </c>
      <c r="K52" s="21" t="s">
        <v>176</v>
      </c>
      <c r="L52" s="2" t="s">
        <v>150</v>
      </c>
      <c r="M52" s="2" t="s">
        <v>150</v>
      </c>
      <c r="N52" s="2" t="s">
        <v>150</v>
      </c>
      <c r="O52" s="2" t="s">
        <v>150</v>
      </c>
    </row>
    <row r="53" spans="1:15" x14ac:dyDescent="0.25">
      <c r="B53" s="8" t="s">
        <v>104</v>
      </c>
      <c r="C53" s="8" t="str">
        <f t="shared" si="4"/>
        <v>Thomas</v>
      </c>
      <c r="D53" s="8" t="str">
        <f t="shared" si="5"/>
        <v>Donahue</v>
      </c>
      <c r="E53" s="8">
        <f t="shared" si="6"/>
        <v>7</v>
      </c>
      <c r="F53" s="8">
        <f t="shared" si="7"/>
        <v>14</v>
      </c>
      <c r="G53" s="7">
        <v>1</v>
      </c>
      <c r="H53" s="8"/>
      <c r="I53" s="29"/>
      <c r="J53" s="29" t="s">
        <v>150</v>
      </c>
      <c r="K53" s="21" t="s">
        <v>176</v>
      </c>
      <c r="L53" s="2" t="s">
        <v>150</v>
      </c>
      <c r="M53" s="2" t="s">
        <v>150</v>
      </c>
      <c r="N53" s="2" t="s">
        <v>150</v>
      </c>
      <c r="O53" s="2" t="s">
        <v>150</v>
      </c>
    </row>
    <row r="54" spans="1:15" x14ac:dyDescent="0.25">
      <c r="B54" s="8" t="s">
        <v>59</v>
      </c>
      <c r="C54" s="8" t="str">
        <f t="shared" si="4"/>
        <v>William</v>
      </c>
      <c r="D54" s="8" t="str">
        <f t="shared" si="5"/>
        <v>Earley</v>
      </c>
      <c r="E54" s="8">
        <f t="shared" si="6"/>
        <v>8</v>
      </c>
      <c r="F54" s="8">
        <f t="shared" si="7"/>
        <v>14</v>
      </c>
      <c r="G54" s="7">
        <v>1</v>
      </c>
      <c r="H54" s="8" t="s">
        <v>58</v>
      </c>
      <c r="I54" s="29"/>
      <c r="J54" s="29" t="s">
        <v>150</v>
      </c>
      <c r="K54" s="21" t="s">
        <v>176</v>
      </c>
      <c r="L54" s="2" t="s">
        <v>150</v>
      </c>
      <c r="M54" s="2" t="s">
        <v>150</v>
      </c>
      <c r="N54" s="2" t="s">
        <v>150</v>
      </c>
      <c r="O54" s="2" t="s">
        <v>150</v>
      </c>
    </row>
    <row r="55" spans="1:15" x14ac:dyDescent="0.25">
      <c r="B55" s="8" t="s">
        <v>138</v>
      </c>
      <c r="C55" s="8" t="str">
        <f t="shared" si="4"/>
        <v>Justin</v>
      </c>
      <c r="D55" s="8" t="str">
        <f t="shared" si="5"/>
        <v>Jones</v>
      </c>
      <c r="E55" s="8">
        <f t="shared" si="6"/>
        <v>7</v>
      </c>
      <c r="F55" s="8">
        <f t="shared" si="7"/>
        <v>12</v>
      </c>
      <c r="G55" s="7">
        <v>2</v>
      </c>
      <c r="H55" s="8"/>
      <c r="I55" s="29"/>
      <c r="J55" s="29" t="s">
        <v>150</v>
      </c>
      <c r="K55" s="21" t="s">
        <v>176</v>
      </c>
      <c r="L55" s="2" t="s">
        <v>150</v>
      </c>
      <c r="M55" s="2" t="s">
        <v>150</v>
      </c>
      <c r="N55" s="2" t="s">
        <v>150</v>
      </c>
      <c r="O55" s="2" t="s">
        <v>150</v>
      </c>
    </row>
    <row r="56" spans="1:15" x14ac:dyDescent="0.25">
      <c r="B56" s="8" t="s">
        <v>23</v>
      </c>
      <c r="C56" s="8" t="str">
        <f t="shared" si="4"/>
        <v>Aaron</v>
      </c>
      <c r="D56" s="8" t="str">
        <f t="shared" si="5"/>
        <v>Windels</v>
      </c>
      <c r="E56" s="8">
        <f t="shared" si="6"/>
        <v>6</v>
      </c>
      <c r="F56" s="8">
        <f t="shared" si="7"/>
        <v>13</v>
      </c>
      <c r="G56" s="7">
        <v>6</v>
      </c>
      <c r="H56" s="8" t="s">
        <v>58</v>
      </c>
      <c r="I56" s="29"/>
      <c r="J56" s="29" t="s">
        <v>150</v>
      </c>
      <c r="K56" s="21" t="s">
        <v>176</v>
      </c>
      <c r="L56" s="2" t="s">
        <v>150</v>
      </c>
      <c r="M56" s="2" t="s">
        <v>150</v>
      </c>
      <c r="N56" s="2" t="s">
        <v>150</v>
      </c>
      <c r="O56" s="2" t="s">
        <v>150</v>
      </c>
    </row>
    <row r="57" spans="1:15" x14ac:dyDescent="0.25">
      <c r="B57" s="8" t="s">
        <v>22</v>
      </c>
      <c r="C57" s="8" t="str">
        <f t="shared" si="4"/>
        <v>Sophia</v>
      </c>
      <c r="D57" s="8" t="str">
        <f t="shared" si="5"/>
        <v>Ceulemans</v>
      </c>
      <c r="E57" s="8">
        <f t="shared" si="6"/>
        <v>7</v>
      </c>
      <c r="F57" s="8">
        <f t="shared" si="7"/>
        <v>16</v>
      </c>
      <c r="G57" s="7">
        <v>10</v>
      </c>
      <c r="H57" s="8" t="s">
        <v>56</v>
      </c>
      <c r="I57" s="29"/>
      <c r="J57" s="29" t="s">
        <v>150</v>
      </c>
      <c r="K57" s="21" t="s">
        <v>176</v>
      </c>
      <c r="L57" s="2" t="s">
        <v>150</v>
      </c>
      <c r="M57" s="2" t="s">
        <v>150</v>
      </c>
      <c r="N57" s="2" t="s">
        <v>150</v>
      </c>
      <c r="O57" s="2" t="s">
        <v>150</v>
      </c>
    </row>
    <row r="58" spans="1:15" s="12" customFormat="1" x14ac:dyDescent="0.25">
      <c r="A58">
        <v>79</v>
      </c>
      <c r="B58" s="8" t="s">
        <v>102</v>
      </c>
      <c r="C58" s="8" t="str">
        <f t="shared" si="4"/>
        <v>Danella</v>
      </c>
      <c r="D58" s="8" t="str">
        <f t="shared" si="5"/>
        <v>Myers</v>
      </c>
      <c r="E58" s="8">
        <f t="shared" si="6"/>
        <v>8</v>
      </c>
      <c r="F58" s="8">
        <f t="shared" si="7"/>
        <v>13</v>
      </c>
      <c r="G58" s="7">
        <v>350</v>
      </c>
      <c r="H58" s="8" t="s">
        <v>219</v>
      </c>
      <c r="I58" s="29"/>
      <c r="J58" s="29" t="s">
        <v>189</v>
      </c>
      <c r="K58" s="21"/>
      <c r="L58"/>
      <c r="M58"/>
      <c r="N58"/>
      <c r="O58"/>
    </row>
    <row r="59" spans="1:15" x14ac:dyDescent="0.25">
      <c r="A59">
        <v>75</v>
      </c>
      <c r="B59" s="8" t="s">
        <v>10</v>
      </c>
      <c r="C59" s="8" t="str">
        <f t="shared" si="4"/>
        <v>Gayle</v>
      </c>
      <c r="D59" s="8" t="str">
        <f t="shared" si="5"/>
        <v>Koop</v>
      </c>
      <c r="E59" s="8">
        <f t="shared" si="6"/>
        <v>6</v>
      </c>
      <c r="F59" s="8">
        <f t="shared" si="7"/>
        <v>10</v>
      </c>
      <c r="G59" s="7">
        <v>250</v>
      </c>
      <c r="H59" s="8" t="s">
        <v>57</v>
      </c>
      <c r="I59" s="29"/>
      <c r="J59" s="29" t="s">
        <v>190</v>
      </c>
      <c r="K59" s="21"/>
    </row>
    <row r="60" spans="1:15" x14ac:dyDescent="0.25">
      <c r="A60">
        <v>76</v>
      </c>
      <c r="B60" s="8" t="s">
        <v>9</v>
      </c>
      <c r="C60" s="8" t="str">
        <f t="shared" si="4"/>
        <v>Gwenne</v>
      </c>
      <c r="D60" s="8" t="str">
        <f t="shared" si="5"/>
        <v>Gustafson</v>
      </c>
      <c r="E60" s="8">
        <f t="shared" si="6"/>
        <v>7</v>
      </c>
      <c r="F60" s="8">
        <f t="shared" si="7"/>
        <v>16</v>
      </c>
      <c r="G60" s="7">
        <v>250</v>
      </c>
      <c r="H60" s="8" t="s">
        <v>64</v>
      </c>
      <c r="I60" s="29"/>
      <c r="J60" s="29" t="s">
        <v>190</v>
      </c>
      <c r="K60" s="21"/>
    </row>
    <row r="61" spans="1:15" x14ac:dyDescent="0.25">
      <c r="A61" s="12">
        <v>20</v>
      </c>
      <c r="B61" s="8" t="s">
        <v>70</v>
      </c>
      <c r="C61" s="8" t="str">
        <f t="shared" si="4"/>
        <v>Tony</v>
      </c>
      <c r="D61" s="8" t="str">
        <f t="shared" si="5"/>
        <v>Holte</v>
      </c>
      <c r="E61" s="8">
        <f t="shared" si="6"/>
        <v>5</v>
      </c>
      <c r="F61" s="8">
        <f t="shared" si="7"/>
        <v>10</v>
      </c>
      <c r="G61" s="7">
        <v>20</v>
      </c>
      <c r="H61" s="8"/>
      <c r="I61" s="29"/>
      <c r="J61" s="29" t="s">
        <v>230</v>
      </c>
      <c r="K61" s="21"/>
      <c r="N61" s="2" t="s">
        <v>150</v>
      </c>
      <c r="O61" s="2" t="s">
        <v>150</v>
      </c>
    </row>
    <row r="62" spans="1:15" x14ac:dyDescent="0.25">
      <c r="A62" s="12">
        <v>6</v>
      </c>
      <c r="B62" s="8" t="s">
        <v>93</v>
      </c>
      <c r="C62" s="8" t="str">
        <f t="shared" si="4"/>
        <v>Austin</v>
      </c>
      <c r="D62" s="8" t="str">
        <f t="shared" si="5"/>
        <v>Kringle</v>
      </c>
      <c r="E62" s="8">
        <f t="shared" si="6"/>
        <v>7</v>
      </c>
      <c r="F62" s="8">
        <f t="shared" si="7"/>
        <v>14</v>
      </c>
      <c r="G62" s="7">
        <v>20</v>
      </c>
      <c r="H62" s="8" t="s">
        <v>65</v>
      </c>
      <c r="I62" s="29"/>
      <c r="J62" s="29" t="s">
        <v>195</v>
      </c>
      <c r="K62" s="21"/>
      <c r="N62" s="2" t="s">
        <v>150</v>
      </c>
      <c r="O62" s="2" t="s">
        <v>150</v>
      </c>
    </row>
    <row r="63" spans="1:15" x14ac:dyDescent="0.25">
      <c r="A63" s="12">
        <v>12</v>
      </c>
      <c r="B63" s="8" t="s">
        <v>72</v>
      </c>
      <c r="C63" s="8" t="str">
        <f t="shared" si="4"/>
        <v>Phil</v>
      </c>
      <c r="D63" s="8" t="str">
        <f t="shared" si="5"/>
        <v>Ensminger</v>
      </c>
      <c r="E63" s="8">
        <f t="shared" si="6"/>
        <v>5</v>
      </c>
      <c r="F63" s="8">
        <f t="shared" si="7"/>
        <v>14</v>
      </c>
      <c r="G63" s="7">
        <v>21</v>
      </c>
      <c r="H63" s="8" t="s">
        <v>80</v>
      </c>
      <c r="I63" s="29"/>
      <c r="J63" s="29" t="s">
        <v>195</v>
      </c>
      <c r="K63" s="21"/>
      <c r="N63" s="2" t="s">
        <v>150</v>
      </c>
      <c r="O63" s="2" t="s">
        <v>150</v>
      </c>
    </row>
    <row r="64" spans="1:15" x14ac:dyDescent="0.25">
      <c r="A64" t="s">
        <v>178</v>
      </c>
      <c r="B64" s="8" t="s">
        <v>18</v>
      </c>
      <c r="C64" s="8" t="str">
        <f t="shared" si="4"/>
        <v>Will</v>
      </c>
      <c r="D64" s="8" t="str">
        <f t="shared" si="5"/>
        <v>Mitchell</v>
      </c>
      <c r="E64" s="8">
        <f t="shared" si="6"/>
        <v>5</v>
      </c>
      <c r="F64" s="8">
        <f t="shared" si="7"/>
        <v>13</v>
      </c>
      <c r="G64" s="7">
        <v>1</v>
      </c>
      <c r="H64" s="8" t="s">
        <v>65</v>
      </c>
      <c r="I64" s="29" t="s">
        <v>193</v>
      </c>
      <c r="J64" s="29" t="s">
        <v>221</v>
      </c>
      <c r="K64" s="21" t="s">
        <v>176</v>
      </c>
      <c r="L64" s="2" t="s">
        <v>150</v>
      </c>
      <c r="M64" s="2" t="s">
        <v>150</v>
      </c>
      <c r="N64" s="2" t="s">
        <v>150</v>
      </c>
      <c r="O64" s="2" t="s">
        <v>150</v>
      </c>
    </row>
    <row r="65" spans="1:15" x14ac:dyDescent="0.25">
      <c r="A65">
        <v>30</v>
      </c>
      <c r="B65" s="8" t="s">
        <v>105</v>
      </c>
      <c r="C65" s="8" t="str">
        <f t="shared" si="4"/>
        <v>David</v>
      </c>
      <c r="D65" s="8" t="str">
        <f t="shared" si="5"/>
        <v>Salas</v>
      </c>
      <c r="E65" s="8">
        <f t="shared" si="6"/>
        <v>6</v>
      </c>
      <c r="F65" s="8">
        <f t="shared" si="7"/>
        <v>11</v>
      </c>
      <c r="G65" s="7">
        <v>35</v>
      </c>
      <c r="H65" s="8"/>
      <c r="I65" s="29"/>
      <c r="J65" s="29" t="s">
        <v>217</v>
      </c>
      <c r="K65" s="21"/>
      <c r="M65" s="16" t="s">
        <v>150</v>
      </c>
      <c r="N65" s="16" t="s">
        <v>150</v>
      </c>
      <c r="O65" s="16" t="s">
        <v>150</v>
      </c>
    </row>
    <row r="66" spans="1:15" x14ac:dyDescent="0.25">
      <c r="A66" s="12">
        <v>16</v>
      </c>
      <c r="B66" s="8" t="s">
        <v>144</v>
      </c>
      <c r="C66" s="8" t="str">
        <f t="shared" ref="C66:C96" si="8">LEFT(B66, E66-1)</f>
        <v>Robert</v>
      </c>
      <c r="D66" s="8" t="str">
        <f t="shared" ref="D66:D96" si="9">RIGHT(B66, F66-E66)</f>
        <v>Hagmaier</v>
      </c>
      <c r="E66" s="8">
        <f t="shared" ref="E66:E96" si="10">FIND(" ",B66)</f>
        <v>7</v>
      </c>
      <c r="F66" s="8">
        <f t="shared" ref="F66:F96" si="11">LEN(B66)</f>
        <v>15</v>
      </c>
      <c r="G66" s="7">
        <v>20</v>
      </c>
      <c r="H66" s="8"/>
      <c r="I66" s="29"/>
      <c r="J66" s="29" t="s">
        <v>228</v>
      </c>
      <c r="K66" s="21"/>
      <c r="N66" s="2" t="s">
        <v>150</v>
      </c>
      <c r="O66" s="2" t="s">
        <v>150</v>
      </c>
    </row>
    <row r="67" spans="1:15" x14ac:dyDescent="0.25">
      <c r="A67" s="12">
        <v>13</v>
      </c>
      <c r="B67" s="8" t="s">
        <v>94</v>
      </c>
      <c r="C67" s="8" t="str">
        <f t="shared" si="8"/>
        <v>Rebecca</v>
      </c>
      <c r="D67" s="8" t="str">
        <f t="shared" si="9"/>
        <v>Howard</v>
      </c>
      <c r="E67" s="8">
        <f t="shared" si="10"/>
        <v>8</v>
      </c>
      <c r="F67" s="8">
        <f t="shared" si="11"/>
        <v>14</v>
      </c>
      <c r="G67" s="7">
        <v>20</v>
      </c>
      <c r="H67" s="8"/>
      <c r="I67" s="29"/>
      <c r="J67" s="29" t="s">
        <v>226</v>
      </c>
      <c r="K67" s="21"/>
      <c r="N67" s="2" t="s">
        <v>150</v>
      </c>
      <c r="O67" s="2" t="s">
        <v>150</v>
      </c>
    </row>
    <row r="68" spans="1:15" x14ac:dyDescent="0.25">
      <c r="A68" s="12">
        <v>7</v>
      </c>
      <c r="B68" s="8" t="s">
        <v>52</v>
      </c>
      <c r="C68" s="8" t="str">
        <f t="shared" si="8"/>
        <v>Clark</v>
      </c>
      <c r="D68" s="8" t="str">
        <f t="shared" si="9"/>
        <v>Kimball</v>
      </c>
      <c r="E68" s="8">
        <f t="shared" si="10"/>
        <v>6</v>
      </c>
      <c r="F68" s="8">
        <f t="shared" si="11"/>
        <v>13</v>
      </c>
      <c r="G68" s="7">
        <v>20</v>
      </c>
      <c r="H68" s="8" t="s">
        <v>56</v>
      </c>
      <c r="I68" s="29"/>
      <c r="J68" s="29" t="s">
        <v>235</v>
      </c>
      <c r="K68" s="21"/>
      <c r="N68" s="2" t="s">
        <v>150</v>
      </c>
      <c r="O68" s="2" t="s">
        <v>150</v>
      </c>
    </row>
    <row r="69" spans="1:15" x14ac:dyDescent="0.25">
      <c r="A69">
        <v>36</v>
      </c>
      <c r="B69" s="8" t="s">
        <v>101</v>
      </c>
      <c r="C69" s="8" t="str">
        <f t="shared" si="8"/>
        <v>Paul</v>
      </c>
      <c r="D69" s="8" t="str">
        <f t="shared" si="9"/>
        <v>Morley</v>
      </c>
      <c r="E69" s="8">
        <f t="shared" si="10"/>
        <v>5</v>
      </c>
      <c r="F69" s="8">
        <f t="shared" si="11"/>
        <v>11</v>
      </c>
      <c r="G69" s="7">
        <v>35</v>
      </c>
      <c r="H69" s="8" t="s">
        <v>154</v>
      </c>
      <c r="I69" s="29"/>
      <c r="J69" s="29" t="s">
        <v>213</v>
      </c>
      <c r="K69" s="21"/>
      <c r="M69" s="16" t="s">
        <v>150</v>
      </c>
      <c r="N69" s="16" t="s">
        <v>150</v>
      </c>
      <c r="O69" s="16" t="s">
        <v>150</v>
      </c>
    </row>
    <row r="70" spans="1:15" x14ac:dyDescent="0.25">
      <c r="A70" s="12">
        <v>10</v>
      </c>
      <c r="B70" s="8" t="s">
        <v>67</v>
      </c>
      <c r="C70" s="8" t="str">
        <f t="shared" si="8"/>
        <v>John</v>
      </c>
      <c r="D70" s="8" t="str">
        <f t="shared" si="9"/>
        <v>Nieland</v>
      </c>
      <c r="E70" s="8">
        <f t="shared" si="10"/>
        <v>5</v>
      </c>
      <c r="F70" s="8">
        <f t="shared" si="11"/>
        <v>12</v>
      </c>
      <c r="G70" s="7">
        <v>20</v>
      </c>
      <c r="H70" s="8" t="s">
        <v>108</v>
      </c>
      <c r="I70" s="29"/>
      <c r="J70" s="29" t="s">
        <v>233</v>
      </c>
      <c r="K70" s="21"/>
      <c r="N70" s="2" t="s">
        <v>150</v>
      </c>
      <c r="O70" s="2" t="s">
        <v>150</v>
      </c>
    </row>
    <row r="71" spans="1:15" x14ac:dyDescent="0.25">
      <c r="A71">
        <v>70</v>
      </c>
      <c r="B71" s="8" t="s">
        <v>86</v>
      </c>
      <c r="C71" s="8" t="str">
        <f t="shared" si="8"/>
        <v>Dale</v>
      </c>
      <c r="D71" s="8" t="str">
        <f t="shared" si="9"/>
        <v>Jensen</v>
      </c>
      <c r="E71" s="8">
        <f t="shared" si="10"/>
        <v>5</v>
      </c>
      <c r="F71" s="8">
        <f t="shared" si="11"/>
        <v>11</v>
      </c>
      <c r="G71" s="7">
        <v>125</v>
      </c>
      <c r="H71" s="8"/>
      <c r="I71" s="29"/>
      <c r="J71" s="29" t="s">
        <v>197</v>
      </c>
      <c r="K71" s="21"/>
      <c r="N71" s="16" t="s">
        <v>150</v>
      </c>
      <c r="O71" s="16" t="s">
        <v>150</v>
      </c>
    </row>
    <row r="72" spans="1:15" x14ac:dyDescent="0.25">
      <c r="A72" s="12">
        <v>17</v>
      </c>
      <c r="B72" s="8" t="s">
        <v>79</v>
      </c>
      <c r="C72" s="8" t="str">
        <f t="shared" si="8"/>
        <v>Sara</v>
      </c>
      <c r="D72" s="8" t="str">
        <f t="shared" si="9"/>
        <v>Russett</v>
      </c>
      <c r="E72" s="8">
        <f t="shared" si="10"/>
        <v>5</v>
      </c>
      <c r="F72" s="8">
        <f t="shared" si="11"/>
        <v>12</v>
      </c>
      <c r="G72" s="7">
        <v>20</v>
      </c>
      <c r="H72" s="8" t="s">
        <v>82</v>
      </c>
      <c r="I72" s="29"/>
      <c r="J72" s="29" t="s">
        <v>234</v>
      </c>
      <c r="K72" s="21"/>
      <c r="N72" s="2" t="s">
        <v>150</v>
      </c>
      <c r="O72" s="2" t="s">
        <v>150</v>
      </c>
    </row>
    <row r="73" spans="1:15" x14ac:dyDescent="0.25">
      <c r="A73">
        <v>55</v>
      </c>
      <c r="B73" s="8" t="s">
        <v>74</v>
      </c>
      <c r="C73" s="8" t="str">
        <f t="shared" si="8"/>
        <v>Kathleen</v>
      </c>
      <c r="D73" s="8" t="str">
        <f t="shared" si="9"/>
        <v>Maurer</v>
      </c>
      <c r="E73" s="8">
        <f t="shared" si="10"/>
        <v>9</v>
      </c>
      <c r="F73" s="8">
        <f t="shared" si="11"/>
        <v>15</v>
      </c>
      <c r="G73" s="7">
        <v>50</v>
      </c>
      <c r="H73" s="8" t="s">
        <v>65</v>
      </c>
      <c r="I73" s="29"/>
      <c r="J73" s="29" t="s">
        <v>234</v>
      </c>
      <c r="K73" s="21"/>
    </row>
    <row r="74" spans="1:15" s="12" customFormat="1" x14ac:dyDescent="0.25">
      <c r="A74">
        <v>77</v>
      </c>
      <c r="B74" s="8" t="s">
        <v>66</v>
      </c>
      <c r="C74" s="8" t="str">
        <f t="shared" si="8"/>
        <v>Jon</v>
      </c>
      <c r="D74" s="8" t="str">
        <f t="shared" si="9"/>
        <v>Koop</v>
      </c>
      <c r="E74" s="8">
        <f t="shared" si="10"/>
        <v>4</v>
      </c>
      <c r="F74" s="8">
        <f t="shared" si="11"/>
        <v>8</v>
      </c>
      <c r="G74" s="7">
        <v>250</v>
      </c>
      <c r="H74" s="8" t="s">
        <v>69</v>
      </c>
      <c r="I74" s="29"/>
      <c r="J74" s="29" t="s">
        <v>196</v>
      </c>
      <c r="K74" s="21"/>
      <c r="L74"/>
      <c r="M74"/>
      <c r="N74"/>
      <c r="O74"/>
    </row>
    <row r="75" spans="1:15" x14ac:dyDescent="0.25">
      <c r="A75" s="12">
        <v>78</v>
      </c>
      <c r="B75" s="8" t="s">
        <v>76</v>
      </c>
      <c r="C75" s="8" t="str">
        <f t="shared" si="8"/>
        <v>Steve</v>
      </c>
      <c r="D75" s="8" t="str">
        <f t="shared" si="9"/>
        <v>Piper-Maurer</v>
      </c>
      <c r="E75" s="8">
        <f t="shared" si="10"/>
        <v>6</v>
      </c>
      <c r="F75" s="8">
        <f t="shared" si="11"/>
        <v>18</v>
      </c>
      <c r="G75" s="7">
        <v>250</v>
      </c>
      <c r="H75" s="8" t="s">
        <v>82</v>
      </c>
      <c r="I75" s="29"/>
      <c r="J75" s="29" t="s">
        <v>196</v>
      </c>
      <c r="K75" s="21"/>
      <c r="L75" s="12"/>
      <c r="M75" s="12"/>
      <c r="N75" s="12"/>
      <c r="O75" s="12"/>
    </row>
    <row r="76" spans="1:15" x14ac:dyDescent="0.25">
      <c r="A76" s="12">
        <v>9</v>
      </c>
      <c r="B76" s="8" t="s">
        <v>100</v>
      </c>
      <c r="C76" s="8" t="str">
        <f t="shared" si="8"/>
        <v>Eric</v>
      </c>
      <c r="D76" s="8" t="str">
        <f t="shared" si="9"/>
        <v>Darling</v>
      </c>
      <c r="E76" s="8">
        <f t="shared" si="10"/>
        <v>5</v>
      </c>
      <c r="F76" s="8">
        <f t="shared" si="11"/>
        <v>12</v>
      </c>
      <c r="G76" s="7">
        <v>20</v>
      </c>
      <c r="H76" s="8"/>
      <c r="I76" s="29"/>
      <c r="J76" s="29" t="s">
        <v>224</v>
      </c>
      <c r="K76" s="21"/>
      <c r="N76" s="2" t="s">
        <v>150</v>
      </c>
      <c r="O76" s="2" t="s">
        <v>150</v>
      </c>
    </row>
    <row r="77" spans="1:15" x14ac:dyDescent="0.25">
      <c r="A77" s="12">
        <v>8</v>
      </c>
      <c r="B77" s="8" t="s">
        <v>97</v>
      </c>
      <c r="C77" s="8" t="str">
        <f t="shared" si="8"/>
        <v>DanielandMeagan</v>
      </c>
      <c r="D77" s="8" t="str">
        <f t="shared" si="9"/>
        <v>Wanschura</v>
      </c>
      <c r="E77" s="8">
        <f t="shared" si="10"/>
        <v>16</v>
      </c>
      <c r="F77" s="8">
        <f t="shared" si="11"/>
        <v>25</v>
      </c>
      <c r="G77" s="7">
        <v>20</v>
      </c>
      <c r="H77" s="8"/>
      <c r="I77" s="29" t="s">
        <v>231</v>
      </c>
      <c r="J77" s="29" t="s">
        <v>232</v>
      </c>
      <c r="K77" s="21"/>
      <c r="N77" s="2" t="s">
        <v>150</v>
      </c>
      <c r="O77" s="2" t="s">
        <v>150</v>
      </c>
    </row>
    <row r="78" spans="1:15" x14ac:dyDescent="0.25">
      <c r="A78">
        <v>38</v>
      </c>
      <c r="B78" s="8" t="s">
        <v>92</v>
      </c>
      <c r="C78" s="8" t="str">
        <f t="shared" si="8"/>
        <v>Adam</v>
      </c>
      <c r="D78" s="8" t="str">
        <f t="shared" si="9"/>
        <v>Fremeth</v>
      </c>
      <c r="E78" s="8">
        <f t="shared" si="10"/>
        <v>5</v>
      </c>
      <c r="F78" s="8">
        <f t="shared" si="11"/>
        <v>12</v>
      </c>
      <c r="G78" s="7">
        <v>40</v>
      </c>
      <c r="H78" s="8"/>
      <c r="I78" s="29"/>
      <c r="J78" s="29" t="s">
        <v>212</v>
      </c>
      <c r="K78" s="21"/>
      <c r="N78" s="16" t="s">
        <v>150</v>
      </c>
      <c r="O78" s="16" t="s">
        <v>150</v>
      </c>
    </row>
    <row r="79" spans="1:15" x14ac:dyDescent="0.25">
      <c r="A79" s="12">
        <v>15</v>
      </c>
      <c r="B79" s="8" t="s">
        <v>129</v>
      </c>
      <c r="C79" s="8" t="str">
        <f t="shared" si="8"/>
        <v>Rick</v>
      </c>
      <c r="D79" s="8" t="str">
        <f t="shared" si="9"/>
        <v>Rydeen</v>
      </c>
      <c r="E79" s="8">
        <f t="shared" si="10"/>
        <v>5</v>
      </c>
      <c r="F79" s="8">
        <f t="shared" si="11"/>
        <v>11</v>
      </c>
      <c r="G79" s="7">
        <v>20</v>
      </c>
      <c r="H79" s="8"/>
      <c r="I79" s="29"/>
      <c r="J79" s="29" t="s">
        <v>227</v>
      </c>
      <c r="K79" s="21"/>
      <c r="N79" s="2" t="s">
        <v>150</v>
      </c>
      <c r="O79" s="2" t="s">
        <v>150</v>
      </c>
    </row>
    <row r="80" spans="1:15" x14ac:dyDescent="0.25">
      <c r="A80" s="12">
        <v>19</v>
      </c>
      <c r="B80" s="8" t="s">
        <v>133</v>
      </c>
      <c r="C80" s="8" t="str">
        <f t="shared" si="8"/>
        <v>Sheldon</v>
      </c>
      <c r="D80" s="8" t="str">
        <f t="shared" si="9"/>
        <v>Sonido</v>
      </c>
      <c r="E80" s="8">
        <f t="shared" si="10"/>
        <v>8</v>
      </c>
      <c r="F80" s="8">
        <f t="shared" si="11"/>
        <v>14</v>
      </c>
      <c r="G80" s="7">
        <v>20</v>
      </c>
      <c r="H80" s="8"/>
      <c r="I80" s="29"/>
      <c r="J80" s="29" t="s">
        <v>229</v>
      </c>
      <c r="K80" s="21"/>
      <c r="N80" s="2" t="s">
        <v>150</v>
      </c>
      <c r="O80" s="2" t="s">
        <v>150</v>
      </c>
    </row>
    <row r="81" spans="1:15" x14ac:dyDescent="0.25">
      <c r="A81" s="12">
        <v>18</v>
      </c>
      <c r="B81" s="8" t="s">
        <v>139</v>
      </c>
      <c r="C81" s="8" t="str">
        <f t="shared" si="8"/>
        <v>Scott</v>
      </c>
      <c r="D81" s="8" t="str">
        <f t="shared" si="9"/>
        <v>Weinberg</v>
      </c>
      <c r="E81" s="8">
        <f t="shared" si="10"/>
        <v>6</v>
      </c>
      <c r="F81" s="8">
        <f t="shared" si="11"/>
        <v>14</v>
      </c>
      <c r="G81" s="7">
        <v>20</v>
      </c>
      <c r="H81" s="8"/>
      <c r="I81" s="29"/>
      <c r="J81" s="29" t="s">
        <v>225</v>
      </c>
      <c r="K81" s="21"/>
      <c r="N81" s="2" t="s">
        <v>150</v>
      </c>
      <c r="O81" s="2" t="s">
        <v>150</v>
      </c>
    </row>
    <row r="82" spans="1:15" x14ac:dyDescent="0.25">
      <c r="A82" s="12">
        <v>29</v>
      </c>
      <c r="B82" s="8" t="s">
        <v>96</v>
      </c>
      <c r="C82" s="8" t="str">
        <f t="shared" si="8"/>
        <v>Kevin</v>
      </c>
      <c r="D82" s="8" t="str">
        <f t="shared" si="9"/>
        <v>Hurbanis</v>
      </c>
      <c r="E82" s="8">
        <f t="shared" si="10"/>
        <v>6</v>
      </c>
      <c r="F82" s="8">
        <f t="shared" si="11"/>
        <v>14</v>
      </c>
      <c r="G82" s="7">
        <v>30</v>
      </c>
      <c r="H82" s="8"/>
      <c r="I82" s="29"/>
      <c r="J82" s="29" t="s">
        <v>225</v>
      </c>
      <c r="K82" s="21"/>
      <c r="L82" s="12"/>
      <c r="M82" s="12"/>
      <c r="N82" s="16" t="s">
        <v>150</v>
      </c>
      <c r="O82" s="16" t="s">
        <v>150</v>
      </c>
    </row>
    <row r="83" spans="1:15" x14ac:dyDescent="0.25">
      <c r="A83">
        <v>54</v>
      </c>
      <c r="B83" s="8" t="s">
        <v>25</v>
      </c>
      <c r="C83" s="8" t="str">
        <f t="shared" si="8"/>
        <v>Earl</v>
      </c>
      <c r="D83" s="8" t="str">
        <f t="shared" si="9"/>
        <v>Netwal</v>
      </c>
      <c r="E83" s="8">
        <f t="shared" si="10"/>
        <v>5</v>
      </c>
      <c r="F83" s="8">
        <f t="shared" si="11"/>
        <v>11</v>
      </c>
      <c r="G83" s="7">
        <v>45</v>
      </c>
      <c r="H83" s="8" t="s">
        <v>58</v>
      </c>
      <c r="I83" s="29"/>
      <c r="J83" s="29" t="s">
        <v>225</v>
      </c>
      <c r="K83" s="21"/>
    </row>
    <row r="84" spans="1:15" s="12" customFormat="1" x14ac:dyDescent="0.25">
      <c r="A84">
        <v>31</v>
      </c>
      <c r="B84" s="8" t="s">
        <v>54</v>
      </c>
      <c r="C84" s="8" t="str">
        <f t="shared" si="8"/>
        <v>Dennis</v>
      </c>
      <c r="D84" s="8" t="str">
        <f t="shared" si="9"/>
        <v>Palma</v>
      </c>
      <c r="E84" s="8">
        <f t="shared" si="10"/>
        <v>7</v>
      </c>
      <c r="F84" s="8">
        <f t="shared" si="11"/>
        <v>12</v>
      </c>
      <c r="G84" s="7">
        <v>35</v>
      </c>
      <c r="H84" s="8" t="s">
        <v>58</v>
      </c>
      <c r="I84" s="29"/>
      <c r="J84" s="29" t="s">
        <v>223</v>
      </c>
      <c r="K84" s="21"/>
      <c r="L84"/>
      <c r="M84" s="16" t="s">
        <v>150</v>
      </c>
      <c r="N84" s="16" t="s">
        <v>150</v>
      </c>
      <c r="O84" s="16" t="s">
        <v>150</v>
      </c>
    </row>
    <row r="85" spans="1:15" x14ac:dyDescent="0.25">
      <c r="A85">
        <v>69</v>
      </c>
      <c r="B85" s="8" t="s">
        <v>126</v>
      </c>
      <c r="C85" s="8" t="str">
        <f t="shared" si="8"/>
        <v>Aviv</v>
      </c>
      <c r="D85" s="8" t="str">
        <f t="shared" si="9"/>
        <v>Baron</v>
      </c>
      <c r="E85" s="8">
        <f t="shared" si="10"/>
        <v>5</v>
      </c>
      <c r="F85" s="8">
        <f t="shared" si="11"/>
        <v>10</v>
      </c>
      <c r="G85" s="7">
        <v>150</v>
      </c>
      <c r="H85" s="8" t="s">
        <v>127</v>
      </c>
      <c r="I85" s="29"/>
      <c r="J85" s="29" t="s">
        <v>198</v>
      </c>
      <c r="K85" s="21"/>
      <c r="N85" s="16" t="s">
        <v>150</v>
      </c>
      <c r="O85" s="16" t="s">
        <v>150</v>
      </c>
    </row>
    <row r="86" spans="1:15" x14ac:dyDescent="0.25">
      <c r="A86">
        <v>37</v>
      </c>
      <c r="B86" s="8" t="s">
        <v>124</v>
      </c>
      <c r="C86" s="8" t="str">
        <f t="shared" si="8"/>
        <v>Timothy</v>
      </c>
      <c r="D86" s="8" t="str">
        <f t="shared" si="9"/>
        <v>Brandis</v>
      </c>
      <c r="E86" s="8">
        <f t="shared" si="10"/>
        <v>8</v>
      </c>
      <c r="F86" s="8">
        <f t="shared" si="11"/>
        <v>15</v>
      </c>
      <c r="G86" s="7">
        <v>35</v>
      </c>
      <c r="H86" s="8"/>
      <c r="I86" s="29"/>
      <c r="J86" s="29" t="s">
        <v>218</v>
      </c>
      <c r="K86" s="21"/>
      <c r="L86" s="12"/>
      <c r="M86" s="16" t="s">
        <v>150</v>
      </c>
      <c r="N86" s="16" t="s">
        <v>150</v>
      </c>
      <c r="O86" s="16" t="s">
        <v>150</v>
      </c>
    </row>
    <row r="87" spans="1:15" x14ac:dyDescent="0.25">
      <c r="A87">
        <v>64</v>
      </c>
      <c r="B87" s="8" t="s">
        <v>90</v>
      </c>
      <c r="C87" s="8" t="str">
        <f t="shared" si="8"/>
        <v>Jessica</v>
      </c>
      <c r="D87" s="8" t="str">
        <f t="shared" si="9"/>
        <v>Buchberger</v>
      </c>
      <c r="E87" s="8">
        <f t="shared" si="10"/>
        <v>8</v>
      </c>
      <c r="F87" s="8">
        <f t="shared" si="11"/>
        <v>18</v>
      </c>
      <c r="G87" s="7">
        <v>70</v>
      </c>
      <c r="H87" s="8"/>
      <c r="I87" s="29"/>
      <c r="J87" s="29" t="s">
        <v>199</v>
      </c>
      <c r="K87" s="21"/>
    </row>
    <row r="88" spans="1:15" x14ac:dyDescent="0.25">
      <c r="A88" s="12">
        <v>27</v>
      </c>
      <c r="B88" s="8" t="s">
        <v>21</v>
      </c>
      <c r="C88" s="8" t="str">
        <f t="shared" si="8"/>
        <v>Jeff</v>
      </c>
      <c r="D88" s="8" t="str">
        <f t="shared" si="9"/>
        <v>Parenteau</v>
      </c>
      <c r="E88" s="8">
        <f t="shared" si="10"/>
        <v>5</v>
      </c>
      <c r="F88" s="8">
        <f t="shared" si="11"/>
        <v>14</v>
      </c>
      <c r="G88" s="7">
        <v>30</v>
      </c>
      <c r="H88" s="8" t="s">
        <v>58</v>
      </c>
      <c r="I88" s="29"/>
      <c r="J88" s="29" t="s">
        <v>222</v>
      </c>
      <c r="K88" s="21"/>
      <c r="N88" s="16" t="s">
        <v>150</v>
      </c>
      <c r="O88" s="16" t="s">
        <v>150</v>
      </c>
    </row>
    <row r="89" spans="1:15" x14ac:dyDescent="0.25">
      <c r="A89">
        <v>32</v>
      </c>
      <c r="B89" s="8" t="s">
        <v>131</v>
      </c>
      <c r="C89" s="8" t="str">
        <f t="shared" si="8"/>
        <v>Holden</v>
      </c>
      <c r="D89" s="8" t="str">
        <f t="shared" si="9"/>
        <v>Chang</v>
      </c>
      <c r="E89" s="8">
        <f t="shared" si="10"/>
        <v>7</v>
      </c>
      <c r="F89" s="8">
        <f t="shared" si="11"/>
        <v>12</v>
      </c>
      <c r="G89" s="7">
        <v>35</v>
      </c>
      <c r="H89" s="8"/>
      <c r="I89" s="29"/>
      <c r="J89" s="29" t="s">
        <v>216</v>
      </c>
      <c r="K89" s="21"/>
      <c r="M89" s="16" t="s">
        <v>150</v>
      </c>
      <c r="N89" s="16" t="s">
        <v>150</v>
      </c>
      <c r="O89" s="16" t="s">
        <v>150</v>
      </c>
    </row>
    <row r="90" spans="1:15" x14ac:dyDescent="0.25">
      <c r="A90">
        <v>34</v>
      </c>
      <c r="B90" s="8" t="s">
        <v>142</v>
      </c>
      <c r="C90" s="8" t="str">
        <f t="shared" si="8"/>
        <v>John</v>
      </c>
      <c r="D90" s="8" t="str">
        <f t="shared" si="9"/>
        <v>McGowan</v>
      </c>
      <c r="E90" s="8">
        <f t="shared" si="10"/>
        <v>5</v>
      </c>
      <c r="F90" s="8">
        <f t="shared" si="11"/>
        <v>12</v>
      </c>
      <c r="G90" s="7">
        <v>51</v>
      </c>
      <c r="H90" s="8"/>
      <c r="I90" s="29"/>
      <c r="J90" s="29" t="s">
        <v>215</v>
      </c>
      <c r="K90" s="21"/>
      <c r="M90" s="16" t="s">
        <v>150</v>
      </c>
      <c r="N90" s="16" t="s">
        <v>150</v>
      </c>
      <c r="O90" s="16" t="s">
        <v>150</v>
      </c>
    </row>
    <row r="91" spans="1:15" x14ac:dyDescent="0.25">
      <c r="A91">
        <v>35</v>
      </c>
      <c r="B91" s="8" t="s">
        <v>121</v>
      </c>
      <c r="C91" s="8" t="str">
        <f t="shared" si="8"/>
        <v>Marc</v>
      </c>
      <c r="D91" s="8" t="str">
        <f t="shared" si="9"/>
        <v>Taylor</v>
      </c>
      <c r="E91" s="8">
        <f t="shared" si="10"/>
        <v>5</v>
      </c>
      <c r="F91" s="8">
        <f t="shared" si="11"/>
        <v>11</v>
      </c>
      <c r="G91" s="7">
        <v>35</v>
      </c>
      <c r="H91" s="8"/>
      <c r="I91" s="29"/>
      <c r="J91" s="29" t="s">
        <v>214</v>
      </c>
      <c r="K91" s="21"/>
      <c r="M91" s="16" t="s">
        <v>150</v>
      </c>
      <c r="N91" s="16" t="s">
        <v>150</v>
      </c>
      <c r="O91" s="16" t="s">
        <v>150</v>
      </c>
    </row>
    <row r="92" spans="1:15" x14ac:dyDescent="0.25">
      <c r="A92">
        <v>40</v>
      </c>
      <c r="B92" s="8" t="s">
        <v>89</v>
      </c>
      <c r="C92" s="8" t="str">
        <f t="shared" si="8"/>
        <v>Anna</v>
      </c>
      <c r="D92" s="8" t="str">
        <f t="shared" si="9"/>
        <v>Marco-Cortiel</v>
      </c>
      <c r="E92" s="8">
        <f t="shared" si="10"/>
        <v>5</v>
      </c>
      <c r="F92" s="8">
        <f t="shared" si="11"/>
        <v>18</v>
      </c>
      <c r="G92" s="7">
        <v>40</v>
      </c>
      <c r="H92" s="8"/>
      <c r="I92" s="29"/>
      <c r="J92" s="29" t="s">
        <v>211</v>
      </c>
      <c r="K92" s="21"/>
      <c r="N92" s="16" t="s">
        <v>150</v>
      </c>
      <c r="O92" s="16" t="s">
        <v>150</v>
      </c>
    </row>
    <row r="93" spans="1:15" s="12" customFormat="1" x14ac:dyDescent="0.25">
      <c r="A93">
        <v>1</v>
      </c>
      <c r="B93" s="8" t="s">
        <v>4</v>
      </c>
      <c r="C93" s="8" t="str">
        <f t="shared" si="8"/>
        <v>Bryan</v>
      </c>
      <c r="D93" s="8" t="str">
        <f t="shared" si="9"/>
        <v>Koop</v>
      </c>
      <c r="E93" s="8">
        <f t="shared" si="10"/>
        <v>6</v>
      </c>
      <c r="F93" s="8">
        <f t="shared" si="11"/>
        <v>10</v>
      </c>
      <c r="G93" s="7">
        <v>5</v>
      </c>
      <c r="H93" s="8" t="s">
        <v>64</v>
      </c>
      <c r="I93" s="29"/>
      <c r="J93" s="29"/>
      <c r="K93" s="21" t="s">
        <v>176</v>
      </c>
      <c r="L93" s="2" t="s">
        <v>150</v>
      </c>
      <c r="M93" s="2" t="s">
        <v>150</v>
      </c>
      <c r="N93" s="2" t="s">
        <v>150</v>
      </c>
      <c r="O93" s="2" t="s">
        <v>150</v>
      </c>
    </row>
    <row r="94" spans="1:15" x14ac:dyDescent="0.25">
      <c r="A94">
        <v>3</v>
      </c>
      <c r="B94" s="8" t="s">
        <v>61</v>
      </c>
      <c r="C94" s="8" t="str">
        <f t="shared" si="8"/>
        <v>Isaac</v>
      </c>
      <c r="D94" s="8" t="str">
        <f t="shared" si="9"/>
        <v>Ginsberg</v>
      </c>
      <c r="E94" s="8">
        <f t="shared" si="10"/>
        <v>6</v>
      </c>
      <c r="F94" s="8">
        <f t="shared" si="11"/>
        <v>14</v>
      </c>
      <c r="G94" s="7">
        <v>5</v>
      </c>
      <c r="H94" s="8" t="s">
        <v>56</v>
      </c>
      <c r="I94" s="29"/>
      <c r="J94" s="29"/>
      <c r="K94" s="21" t="s">
        <v>176</v>
      </c>
      <c r="L94" s="2" t="s">
        <v>150</v>
      </c>
      <c r="M94" s="2" t="s">
        <v>150</v>
      </c>
      <c r="N94" s="2" t="s">
        <v>150</v>
      </c>
      <c r="O94" s="2" t="s">
        <v>150</v>
      </c>
    </row>
    <row r="95" spans="1:15" x14ac:dyDescent="0.25">
      <c r="A95">
        <v>4</v>
      </c>
      <c r="B95" s="8" t="s">
        <v>87</v>
      </c>
      <c r="C95" s="8" t="str">
        <f t="shared" si="8"/>
        <v>Jonathan</v>
      </c>
      <c r="D95" s="8" t="str">
        <f t="shared" si="9"/>
        <v>Anders</v>
      </c>
      <c r="E95" s="8">
        <f t="shared" si="10"/>
        <v>9</v>
      </c>
      <c r="F95" s="8">
        <f t="shared" si="11"/>
        <v>15</v>
      </c>
      <c r="G95" s="7">
        <v>5</v>
      </c>
      <c r="H95" s="8"/>
      <c r="I95" s="29"/>
      <c r="J95" s="29"/>
      <c r="K95" s="21" t="s">
        <v>176</v>
      </c>
      <c r="L95" s="2" t="s">
        <v>150</v>
      </c>
      <c r="M95" s="2" t="s">
        <v>150</v>
      </c>
      <c r="N95" s="2" t="s">
        <v>150</v>
      </c>
      <c r="O95" s="2" t="s">
        <v>150</v>
      </c>
    </row>
    <row r="96" spans="1:15" x14ac:dyDescent="0.25">
      <c r="A96">
        <v>2</v>
      </c>
      <c r="B96" s="8" t="s">
        <v>24</v>
      </c>
      <c r="C96" s="8" t="str">
        <f t="shared" si="8"/>
        <v>Debbie</v>
      </c>
      <c r="D96" s="8" t="str">
        <f t="shared" si="9"/>
        <v>Koop</v>
      </c>
      <c r="E96" s="8">
        <f t="shared" si="10"/>
        <v>7</v>
      </c>
      <c r="F96" s="8">
        <f t="shared" si="11"/>
        <v>11</v>
      </c>
      <c r="G96" s="7">
        <v>25</v>
      </c>
      <c r="H96" s="8" t="s">
        <v>58</v>
      </c>
      <c r="I96" s="29"/>
      <c r="J96" s="29"/>
      <c r="K96" s="21" t="s">
        <v>176</v>
      </c>
      <c r="L96" s="2" t="s">
        <v>150</v>
      </c>
      <c r="M96" s="2" t="s">
        <v>150</v>
      </c>
      <c r="N96" s="2" t="s">
        <v>150</v>
      </c>
      <c r="O96" s="2" t="s">
        <v>150</v>
      </c>
    </row>
    <row r="97" spans="1:15" x14ac:dyDescent="0.25">
      <c r="B97" s="25" t="s">
        <v>177</v>
      </c>
      <c r="C97" s="6"/>
      <c r="D97" s="6"/>
      <c r="E97" s="6"/>
      <c r="F97" s="6"/>
      <c r="G97" s="10"/>
      <c r="H97" s="6"/>
      <c r="I97" s="28"/>
      <c r="J97" s="28"/>
      <c r="K97" s="23"/>
      <c r="L97" s="24"/>
      <c r="M97" s="24"/>
      <c r="N97" s="24"/>
      <c r="O97" s="24"/>
    </row>
    <row r="98" spans="1:15" x14ac:dyDescent="0.25">
      <c r="A98" s="12"/>
      <c r="B98" s="9" t="s">
        <v>181</v>
      </c>
      <c r="C98" s="9"/>
      <c r="D98" s="9"/>
      <c r="E98" s="9"/>
      <c r="F98" s="9"/>
      <c r="G98" s="11"/>
      <c r="H98" s="9"/>
      <c r="I98" s="30"/>
      <c r="J98" s="30"/>
      <c r="K98" s="21"/>
      <c r="L98" s="26"/>
      <c r="M98" s="26"/>
      <c r="N98" s="26"/>
      <c r="O98" s="26"/>
    </row>
    <row r="99" spans="1:15" s="12" customFormat="1" x14ac:dyDescent="0.25">
      <c r="B99" s="9" t="s">
        <v>151</v>
      </c>
      <c r="C99" s="9"/>
      <c r="D99" s="9"/>
      <c r="E99" s="9"/>
      <c r="F99" s="9"/>
      <c r="G99" s="11"/>
      <c r="H99" s="9"/>
      <c r="I99" s="30"/>
      <c r="J99" s="30"/>
      <c r="K99" s="21"/>
    </row>
    <row r="100" spans="1:15" x14ac:dyDescent="0.25">
      <c r="A100" s="12"/>
      <c r="B100" s="9" t="s">
        <v>152</v>
      </c>
      <c r="C100" s="9"/>
      <c r="D100" s="9"/>
      <c r="E100" s="9"/>
      <c r="F100" s="9"/>
      <c r="G100" s="11"/>
      <c r="H100" s="9"/>
      <c r="I100" s="30"/>
      <c r="J100" s="30"/>
      <c r="K100" s="21"/>
      <c r="L100" s="12"/>
      <c r="M100" s="12"/>
      <c r="N100" s="12"/>
      <c r="O100" s="12"/>
    </row>
    <row r="101" spans="1:15" x14ac:dyDescent="0.25">
      <c r="B101" s="9" t="s">
        <v>153</v>
      </c>
      <c r="C101" s="9"/>
      <c r="D101" s="9"/>
      <c r="E101" s="9"/>
      <c r="F101" s="9"/>
      <c r="G101" s="11"/>
      <c r="H101" s="9"/>
      <c r="I101" s="30"/>
      <c r="J101" s="30"/>
      <c r="K101" s="21"/>
    </row>
    <row r="102" spans="1:15" x14ac:dyDescent="0.25">
      <c r="B102" s="9" t="s">
        <v>155</v>
      </c>
      <c r="C102" s="9"/>
      <c r="D102" s="9"/>
      <c r="E102" s="9"/>
      <c r="F102" s="9"/>
      <c r="G102" s="11"/>
      <c r="H102" s="9"/>
      <c r="I102" s="30"/>
      <c r="J102" s="30"/>
      <c r="K102" s="21"/>
    </row>
    <row r="103" spans="1:15" x14ac:dyDescent="0.25">
      <c r="B103" s="9" t="s">
        <v>158</v>
      </c>
      <c r="C103" s="9"/>
      <c r="D103" s="9"/>
      <c r="E103" s="9"/>
      <c r="F103" s="9"/>
      <c r="G103" s="11"/>
      <c r="H103" s="9"/>
      <c r="I103" s="30"/>
      <c r="J103" s="30"/>
      <c r="K103" s="21"/>
    </row>
    <row r="104" spans="1:15" x14ac:dyDescent="0.25">
      <c r="B104" s="9" t="s">
        <v>159</v>
      </c>
      <c r="C104" s="9"/>
      <c r="D104" s="9"/>
      <c r="E104" s="9"/>
      <c r="F104" s="9"/>
      <c r="G104" s="11"/>
      <c r="H104" s="9"/>
      <c r="I104" s="30"/>
      <c r="J104" s="30"/>
      <c r="K104" s="21"/>
    </row>
    <row r="105" spans="1:15" s="12" customFormat="1" x14ac:dyDescent="0.25">
      <c r="A105"/>
      <c r="B105" s="9" t="s">
        <v>160</v>
      </c>
      <c r="C105" s="9"/>
      <c r="D105" s="9"/>
      <c r="E105" s="9"/>
      <c r="F105" s="9"/>
      <c r="G105" s="11"/>
      <c r="H105" s="9"/>
      <c r="I105" s="30"/>
      <c r="J105" s="30"/>
      <c r="K105" s="21"/>
      <c r="L105"/>
      <c r="M105"/>
      <c r="N105"/>
      <c r="O105"/>
    </row>
    <row r="106" spans="1:15" x14ac:dyDescent="0.25">
      <c r="B106" s="9" t="s">
        <v>161</v>
      </c>
      <c r="C106" s="9"/>
      <c r="D106" s="9"/>
      <c r="E106" s="9"/>
      <c r="F106" s="9"/>
      <c r="G106" s="11"/>
      <c r="H106" s="9"/>
      <c r="I106" s="30"/>
      <c r="J106" s="30"/>
      <c r="K106" s="21"/>
    </row>
    <row r="107" spans="1:15" x14ac:dyDescent="0.25">
      <c r="B107" s="9" t="s">
        <v>162</v>
      </c>
      <c r="C107" s="9"/>
      <c r="D107" s="9"/>
      <c r="E107" s="9"/>
      <c r="F107" s="9"/>
      <c r="G107" s="11"/>
      <c r="H107" s="9"/>
      <c r="I107" s="30"/>
      <c r="J107" s="30"/>
      <c r="K107" s="21"/>
    </row>
    <row r="108" spans="1:15" x14ac:dyDescent="0.25">
      <c r="G108" s="1">
        <f>SUM(G3:G107)</f>
        <v>5015</v>
      </c>
    </row>
    <row r="109" spans="1:15" x14ac:dyDescent="0.25">
      <c r="G109" s="1" t="s">
        <v>48</v>
      </c>
    </row>
    <row r="117" spans="6:6" x14ac:dyDescent="0.25">
      <c r="F117" t="s">
        <v>180</v>
      </c>
    </row>
  </sheetData>
  <sortState ref="A2:O96">
    <sortCondition ref="J2:J96"/>
    <sortCondition ref="G2:G96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C11" sqref="C11"/>
    </sheetView>
  </sheetViews>
  <sheetFormatPr defaultColWidth="11.42578125" defaultRowHeight="15" x14ac:dyDescent="0.25"/>
  <cols>
    <col min="1" max="1" width="9.42578125" bestFit="1" customWidth="1"/>
    <col min="2" max="2" width="10.42578125" bestFit="1" customWidth="1"/>
    <col min="3" max="3" width="13.7109375" bestFit="1" customWidth="1"/>
    <col min="4" max="4" width="13.28515625" bestFit="1" customWidth="1"/>
    <col min="5" max="5" width="23.140625" bestFit="1" customWidth="1"/>
    <col min="6" max="6" width="11.7109375" bestFit="1" customWidth="1"/>
    <col min="7" max="7" width="29.140625" bestFit="1" customWidth="1"/>
  </cols>
  <sheetData>
    <row r="1" spans="1:7" s="2" customFormat="1" x14ac:dyDescent="0.25">
      <c r="A1" s="2" t="s">
        <v>29</v>
      </c>
      <c r="B1" s="2" t="s">
        <v>30</v>
      </c>
      <c r="C1" s="2" t="s">
        <v>236</v>
      </c>
      <c r="D1" s="2" t="s">
        <v>237</v>
      </c>
      <c r="E1" s="2" t="s">
        <v>238</v>
      </c>
      <c r="F1" s="2" t="s">
        <v>239</v>
      </c>
      <c r="G1" s="2" t="s">
        <v>247</v>
      </c>
    </row>
    <row r="2" spans="1:7" x14ac:dyDescent="0.25">
      <c r="A2" t="s">
        <v>240</v>
      </c>
      <c r="B2" t="s">
        <v>241</v>
      </c>
    </row>
    <row r="3" spans="1:7" x14ac:dyDescent="0.25">
      <c r="A3" t="s">
        <v>242</v>
      </c>
      <c r="B3" t="s">
        <v>243</v>
      </c>
      <c r="C3" t="s">
        <v>244</v>
      </c>
      <c r="D3" t="s">
        <v>238</v>
      </c>
      <c r="E3" s="31" t="s">
        <v>245</v>
      </c>
      <c r="F3" t="s">
        <v>246</v>
      </c>
      <c r="G3" t="s">
        <v>278</v>
      </c>
    </row>
    <row r="4" spans="1:7" x14ac:dyDescent="0.25">
      <c r="A4" t="s">
        <v>248</v>
      </c>
      <c r="B4" t="s">
        <v>249</v>
      </c>
    </row>
    <row r="5" spans="1:7" x14ac:dyDescent="0.25">
      <c r="A5" t="s">
        <v>250</v>
      </c>
      <c r="B5" t="s">
        <v>251</v>
      </c>
    </row>
    <row r="6" spans="1:7" x14ac:dyDescent="0.25">
      <c r="A6" t="s">
        <v>252</v>
      </c>
      <c r="B6" t="s">
        <v>253</v>
      </c>
    </row>
    <row r="7" spans="1:7" x14ac:dyDescent="0.25">
      <c r="A7" t="s">
        <v>254</v>
      </c>
      <c r="B7" t="s">
        <v>255</v>
      </c>
    </row>
    <row r="8" spans="1:7" x14ac:dyDescent="0.25">
      <c r="A8" t="s">
        <v>254</v>
      </c>
      <c r="B8" t="s">
        <v>256</v>
      </c>
    </row>
    <row r="9" spans="1:7" x14ac:dyDescent="0.25">
      <c r="A9" t="s">
        <v>257</v>
      </c>
      <c r="B9" t="s">
        <v>258</v>
      </c>
    </row>
    <row r="10" spans="1:7" x14ac:dyDescent="0.25">
      <c r="A10" t="s">
        <v>259</v>
      </c>
      <c r="B10" t="s">
        <v>260</v>
      </c>
    </row>
    <row r="11" spans="1:7" x14ac:dyDescent="0.25">
      <c r="A11" t="s">
        <v>261</v>
      </c>
      <c r="B11" t="s">
        <v>262</v>
      </c>
    </row>
    <row r="12" spans="1:7" x14ac:dyDescent="0.25">
      <c r="A12" t="s">
        <v>263</v>
      </c>
      <c r="B12" t="s">
        <v>185</v>
      </c>
      <c r="G12" t="s">
        <v>264</v>
      </c>
    </row>
    <row r="13" spans="1:7" x14ac:dyDescent="0.25">
      <c r="A13" t="s">
        <v>268</v>
      </c>
      <c r="B13" t="s">
        <v>267</v>
      </c>
    </row>
    <row r="14" spans="1:7" x14ac:dyDescent="0.25">
      <c r="A14" t="s">
        <v>265</v>
      </c>
      <c r="B14" t="s">
        <v>266</v>
      </c>
    </row>
    <row r="15" spans="1:7" x14ac:dyDescent="0.25">
      <c r="A15" t="s">
        <v>269</v>
      </c>
      <c r="B15" t="s">
        <v>270</v>
      </c>
      <c r="C15" t="s">
        <v>244</v>
      </c>
      <c r="D15" t="s">
        <v>238</v>
      </c>
    </row>
    <row r="16" spans="1:7" x14ac:dyDescent="0.25">
      <c r="A16" t="s">
        <v>252</v>
      </c>
      <c r="B16" t="s">
        <v>271</v>
      </c>
      <c r="C16" t="s">
        <v>244</v>
      </c>
      <c r="E16" s="31" t="s">
        <v>290</v>
      </c>
      <c r="G16" t="s">
        <v>289</v>
      </c>
    </row>
    <row r="17" spans="1:7" x14ac:dyDescent="0.25">
      <c r="A17" t="s">
        <v>272</v>
      </c>
      <c r="B17" t="s">
        <v>273</v>
      </c>
    </row>
    <row r="18" spans="1:7" x14ac:dyDescent="0.25">
      <c r="A18" t="s">
        <v>274</v>
      </c>
      <c r="B18" t="s">
        <v>275</v>
      </c>
    </row>
    <row r="19" spans="1:7" x14ac:dyDescent="0.25">
      <c r="A19" t="s">
        <v>276</v>
      </c>
      <c r="B19" t="s">
        <v>277</v>
      </c>
      <c r="C19" t="s">
        <v>244</v>
      </c>
    </row>
    <row r="20" spans="1:7" x14ac:dyDescent="0.25">
      <c r="A20" t="s">
        <v>279</v>
      </c>
      <c r="B20" t="s">
        <v>280</v>
      </c>
      <c r="C20" t="s">
        <v>281</v>
      </c>
      <c r="D20" t="s">
        <v>238</v>
      </c>
      <c r="G20" t="s">
        <v>282</v>
      </c>
    </row>
    <row r="21" spans="1:7" x14ac:dyDescent="0.25">
      <c r="A21" t="s">
        <v>283</v>
      </c>
      <c r="B21" t="s">
        <v>284</v>
      </c>
      <c r="C21" t="s">
        <v>244</v>
      </c>
      <c r="G21" t="s">
        <v>285</v>
      </c>
    </row>
    <row r="22" spans="1:7" x14ac:dyDescent="0.25">
      <c r="A22" t="s">
        <v>286</v>
      </c>
      <c r="B22" t="s">
        <v>287</v>
      </c>
      <c r="G22" t="s">
        <v>288</v>
      </c>
    </row>
  </sheetData>
  <hyperlinks>
    <hyperlink ref="E3" r:id="rId1"/>
    <hyperlink ref="E16" r:id="rId2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Rewards</vt:lpstr>
      <vt:lpstr>Sheet1</vt:lpstr>
      <vt:lpstr>Actual Backers</vt:lpstr>
      <vt:lpstr>Sheet2</vt:lpstr>
      <vt:lpstr>Special Contacts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2014-02-20T23:38:16Z</dcterms:created>
  <dcterms:modified xsi:type="dcterms:W3CDTF">2014-04-18T14:10:16Z</dcterms:modified>
</cp:coreProperties>
</file>