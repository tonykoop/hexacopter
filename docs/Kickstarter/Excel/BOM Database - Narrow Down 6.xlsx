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ropbox\Kickstarter TK\Excel\"/>
    </mc:Choice>
  </mc:AlternateContent>
  <bookViews>
    <workbookView xWindow="135" yWindow="0" windowWidth="11235" windowHeight="4575" tabRatio="880" activeTab="9"/>
  </bookViews>
  <sheets>
    <sheet name="BOM Summary" sheetId="10" r:id="rId1"/>
    <sheet name="Budget" sheetId="19" r:id="rId2"/>
    <sheet name="Thank you Round" sheetId="20" r:id="rId3"/>
    <sheet name="Sheet1" sheetId="21" r:id="rId4"/>
    <sheet name="1. Multirotor Frames" sheetId="6" r:id="rId5"/>
    <sheet name="2. Flight Controllers" sheetId="7" r:id="rId6"/>
    <sheet name="3. Transmitters" sheetId="15" r:id="rId7"/>
    <sheet name="4. Receivers" sheetId="11" r:id="rId8"/>
    <sheet name="5. Cameras" sheetId="18" r:id="rId9"/>
    <sheet name="6. Gimbals" sheetId="13" r:id="rId10"/>
    <sheet name="7. Motors" sheetId="3" r:id="rId11"/>
    <sheet name="8. ESCs" sheetId="16" r:id="rId12"/>
    <sheet name="9. Batteries" sheetId="8" r:id="rId13"/>
    <sheet name="10. Propellers" sheetId="14" r:id="rId14"/>
    <sheet name="11. Accessories" sheetId="17" r:id="rId15"/>
    <sheet name="Scorecard" sheetId="1" r:id="rId16"/>
  </sheets>
  <definedNames>
    <definedName name="_xlnm._FilterDatabase" localSheetId="0" hidden="1">'BOM Summary'!$A$2:$K$14</definedName>
    <definedName name="Acc_Brand">'11. Accessories'!$B$3:$B$4</definedName>
    <definedName name="Acc_Link">'11. Accessories'!$S$3:$S$4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Batteries'!$B$3:$B$26</definedName>
    <definedName name="Bat_Link">'9. Batteries'!$Q$3:$Q$26</definedName>
    <definedName name="Bat_Mass">'9. Batteries'!$L$3:$L$26</definedName>
    <definedName name="Bat_Model">'9. Batteries'!$C$3:$C$26</definedName>
    <definedName name="Bat_Price">'9. Batteries'!$M$3:$M$26</definedName>
    <definedName name="Cam_Brand">#REF!</definedName>
    <definedName name="Cam_Link">'5. Cameras'!$K$3:$K$13</definedName>
    <definedName name="Cam_Mass">#REF!</definedName>
    <definedName name="Cam_Model">#REF!</definedName>
    <definedName name="Cam_Price">#REF!</definedName>
    <definedName name="Camera_Brand">'5. Cameras'!$B$3:$B$13</definedName>
    <definedName name="Camera_Model">'5. Cameras'!$C$3:$C$13</definedName>
    <definedName name="Camera_Price">'5. Cameras'!$J$3:$J$13</definedName>
    <definedName name="ESC_Brand">'8. ESCs'!$B$3:$B$27</definedName>
    <definedName name="ESC_Link">'8. ESCs'!$K$3:$K$32</definedName>
    <definedName name="ESC_Mass">'8. ESCs'!$H$3:$H$27</definedName>
    <definedName name="ESC_Model">'8. ESCs'!$E$3:$E$27</definedName>
    <definedName name="ESC_Model2">'8. ESCs'!$C$3:$C$27</definedName>
    <definedName name="ESC_Model3">'8. ESCs'!$C$3:$C$32</definedName>
    <definedName name="ESC_Price">'8. ESCs'!$J$3:$J$27</definedName>
    <definedName name="FC_Brand">'2. Flight Controllers'!$B$3:$B$9</definedName>
    <definedName name="FC_Link">'2. Flight Controllers'!$K$3:$K$9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Frames'!$B$3:$B$27</definedName>
    <definedName name="Frame_Line">'1. Multirotor Frames'!$C$3:$C$27</definedName>
    <definedName name="Frame_Link">'1. Multirotor Frames'!$Q$3:$Q$27</definedName>
    <definedName name="Frame_Mass">'1. Multirotor Frames'!$F$3:$F$27</definedName>
    <definedName name="Frame_Model">'1. Multirotor Frames'!$D$3:$D$27</definedName>
    <definedName name="Frame_Price">'1. Multirotor Frames'!$P$3:$P$27</definedName>
    <definedName name="Framemass">'1. Multirotor Frames'!$F$3:$F$27</definedName>
    <definedName name="Gimbal_Brand">'6. Gimbals'!$H$6</definedName>
    <definedName name="Gimbal_Brand2">'6. Gimbals'!$B$3:$B$13</definedName>
    <definedName name="Gimbal_Link">'6. Gimbals'!$I$3:$I$13</definedName>
    <definedName name="Gimbal_Mass">'6. Gimbals'!$G$3:$G$13</definedName>
    <definedName name="Gimbal_Model">'6. Gimbals'!$C$3:$C$13</definedName>
    <definedName name="Gimbal_Price">'6. Gimbals'!$H$3:$H$13</definedName>
    <definedName name="Motor_Brand">'7. Motors'!$B$2:$B$49</definedName>
    <definedName name="Motor_Link">'7. Motors'!$S$2:$S$49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Frames'!$E$3:$E$27</definedName>
    <definedName name="Prop_Brand">'10. Propellers'!$B$3:$B$42</definedName>
    <definedName name="Prop_Link">'10. Propellers'!$N$3:$N$42</definedName>
    <definedName name="Prop_Mass">'10. Propellers'!$J$3:$J$42</definedName>
    <definedName name="Prop_Model">'10. Propellers'!$D$3:$D$42</definedName>
    <definedName name="Prop_Price">'10. Propellers'!$L$3:$L$42</definedName>
    <definedName name="RC_Brand">'4. Receivers'!$B$3:$B$12</definedName>
    <definedName name="RC_Link">'4. Receivers'!$L$3:$L$12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Link">'3. Transmitters'!$L$3:$L$17</definedName>
    <definedName name="Tx_Mass">'3. Transmitters'!#REF!</definedName>
    <definedName name="Tx_Model">'3. Transmitters'!$C$3:$C$17</definedName>
    <definedName name="Tx_Price">'3. Transmitters'!$K$3:$K$17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9" l="1"/>
  <c r="D11" i="19"/>
  <c r="D16" i="19"/>
  <c r="E17" i="19"/>
  <c r="C17" i="19"/>
  <c r="B26" i="19"/>
  <c r="C18" i="19"/>
  <c r="D17" i="19"/>
  <c r="D18" i="19"/>
  <c r="K1" i="10"/>
  <c r="M8" i="14"/>
  <c r="M9" i="14"/>
  <c r="M10" i="14"/>
  <c r="M11" i="14"/>
  <c r="M12" i="14"/>
  <c r="J29" i="10"/>
  <c r="I29" i="10"/>
  <c r="J30" i="10"/>
  <c r="H29" i="10"/>
  <c r="I30" i="10"/>
  <c r="N4" i="8"/>
  <c r="N6" i="8"/>
  <c r="N7" i="8"/>
  <c r="N8" i="8"/>
  <c r="N10" i="8"/>
  <c r="N11" i="8"/>
  <c r="N12" i="8"/>
  <c r="N13" i="8"/>
  <c r="N15" i="8"/>
  <c r="N16" i="8"/>
  <c r="N18" i="8"/>
  <c r="N19" i="8"/>
  <c r="N20" i="8"/>
  <c r="N21" i="8"/>
  <c r="I23" i="8"/>
  <c r="J23" i="8"/>
  <c r="K23" i="8"/>
  <c r="N23" i="8"/>
  <c r="N24" i="8"/>
  <c r="N25" i="8"/>
  <c r="N26" i="8"/>
  <c r="N3" i="8"/>
  <c r="O23" i="8"/>
  <c r="P23" i="8"/>
  <c r="O15" i="8"/>
  <c r="P15" i="8"/>
  <c r="I4" i="7"/>
  <c r="G29" i="10"/>
  <c r="H30" i="10"/>
  <c r="K10" i="10"/>
  <c r="K13" i="10"/>
  <c r="K12" i="10"/>
  <c r="K11" i="10"/>
  <c r="K9" i="10"/>
  <c r="K8" i="10"/>
  <c r="K7" i="10"/>
  <c r="K6" i="10"/>
  <c r="K5" i="10"/>
  <c r="K4" i="10"/>
  <c r="K3" i="10"/>
  <c r="I4" i="10"/>
  <c r="J4" i="10"/>
  <c r="I5" i="10"/>
  <c r="J5" i="10"/>
  <c r="I6" i="10"/>
  <c r="J6" i="10"/>
  <c r="I7" i="10"/>
  <c r="J7" i="10"/>
  <c r="I8" i="10"/>
  <c r="J8" i="10"/>
  <c r="I9" i="10"/>
  <c r="F9" i="10"/>
  <c r="J9" i="10"/>
  <c r="I10" i="10"/>
  <c r="F10" i="10"/>
  <c r="J10" i="10"/>
  <c r="I11" i="10"/>
  <c r="J11" i="10"/>
  <c r="I12" i="10"/>
  <c r="J12" i="10"/>
  <c r="R3" i="17"/>
  <c r="I13" i="10"/>
  <c r="J13" i="10"/>
  <c r="P23" i="6"/>
  <c r="I3" i="10"/>
  <c r="J3" i="10"/>
  <c r="J14" i="10"/>
  <c r="J15" i="10"/>
  <c r="M25" i="14"/>
  <c r="M3" i="14"/>
  <c r="M26" i="14"/>
  <c r="M32" i="14"/>
  <c r="M38" i="14"/>
  <c r="M27" i="14"/>
  <c r="M33" i="14"/>
  <c r="M39" i="14"/>
  <c r="M7" i="14"/>
  <c r="M20" i="14"/>
  <c r="M28" i="14"/>
  <c r="M4" i="14"/>
  <c r="M5" i="14"/>
  <c r="M13" i="14"/>
  <c r="M14" i="14"/>
  <c r="M15" i="14"/>
  <c r="M22" i="14"/>
  <c r="M30" i="14"/>
  <c r="M34" i="14"/>
  <c r="M35" i="14"/>
  <c r="M40" i="14"/>
  <c r="M16" i="14"/>
  <c r="M23" i="14"/>
  <c r="M41" i="14"/>
  <c r="M36" i="14"/>
  <c r="M42" i="14"/>
  <c r="M17" i="14"/>
  <c r="M19" i="14"/>
  <c r="F29" i="10"/>
  <c r="G30" i="10"/>
  <c r="P22" i="6"/>
  <c r="E29" i="10"/>
  <c r="F30" i="10"/>
  <c r="P4" i="8"/>
  <c r="P6" i="8"/>
  <c r="P7" i="8"/>
  <c r="P8" i="8"/>
  <c r="P10" i="8"/>
  <c r="P11" i="8"/>
  <c r="P12" i="8"/>
  <c r="P13" i="8"/>
  <c r="P16" i="8"/>
  <c r="P18" i="8"/>
  <c r="P19" i="8"/>
  <c r="P20" i="8"/>
  <c r="P21" i="8"/>
  <c r="P24" i="8"/>
  <c r="P25" i="8"/>
  <c r="P26" i="8"/>
  <c r="P3" i="8"/>
  <c r="O4" i="8"/>
  <c r="O6" i="8"/>
  <c r="O7" i="8"/>
  <c r="O8" i="8"/>
  <c r="O10" i="8"/>
  <c r="O11" i="8"/>
  <c r="O12" i="8"/>
  <c r="O13" i="8"/>
  <c r="O16" i="8"/>
  <c r="O18" i="8"/>
  <c r="O19" i="8"/>
  <c r="O20" i="8"/>
  <c r="O21" i="8"/>
  <c r="O24" i="8"/>
  <c r="O25" i="8"/>
  <c r="O26" i="8"/>
  <c r="O3" i="8"/>
  <c r="F50" i="3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D29" i="10"/>
  <c r="E30" i="10"/>
  <c r="P30" i="6"/>
  <c r="P29" i="6"/>
  <c r="P28" i="6"/>
  <c r="S5" i="17"/>
  <c r="R4" i="17"/>
  <c r="M28" i="8"/>
  <c r="M29" i="8"/>
  <c r="E27" i="8"/>
  <c r="F27" i="8"/>
  <c r="G27" i="8"/>
  <c r="H27" i="8"/>
  <c r="I27" i="8"/>
  <c r="J27" i="8"/>
  <c r="K27" i="8"/>
  <c r="L27" i="8"/>
  <c r="E28" i="8"/>
  <c r="F28" i="8"/>
  <c r="G28" i="8"/>
  <c r="H28" i="8"/>
  <c r="I28" i="8"/>
  <c r="J28" i="8"/>
  <c r="K28" i="8"/>
  <c r="L28" i="8"/>
  <c r="E29" i="8"/>
  <c r="F29" i="8"/>
  <c r="G29" i="8"/>
  <c r="H29" i="8"/>
  <c r="I29" i="8"/>
  <c r="J29" i="8"/>
  <c r="K29" i="8"/>
  <c r="L29" i="8"/>
  <c r="D29" i="8"/>
  <c r="D28" i="8"/>
  <c r="D27" i="8"/>
  <c r="G12" i="10"/>
  <c r="H12" i="10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40" i="10"/>
  <c r="D37" i="10"/>
  <c r="D16" i="18"/>
  <c r="I16" i="18"/>
  <c r="J16" i="18"/>
  <c r="I14" i="18"/>
  <c r="J14" i="18"/>
  <c r="I15" i="18"/>
  <c r="J15" i="18"/>
  <c r="D14" i="18"/>
  <c r="D15" i="18"/>
  <c r="S50" i="3"/>
  <c r="H14" i="13"/>
  <c r="H15" i="13"/>
  <c r="H16" i="13"/>
  <c r="G14" i="13"/>
  <c r="G15" i="13"/>
  <c r="G16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34" i="10"/>
  <c r="D36" i="10"/>
  <c r="D35" i="10"/>
  <c r="D33" i="10"/>
  <c r="D38" i="10"/>
  <c r="D39" i="10"/>
  <c r="D41" i="10"/>
  <c r="D42" i="10"/>
  <c r="D44" i="10"/>
  <c r="I14" i="13"/>
  <c r="L29" i="6"/>
  <c r="L30" i="6"/>
  <c r="L28" i="6"/>
  <c r="H3" i="6"/>
  <c r="H4" i="6"/>
  <c r="H5" i="6"/>
  <c r="H6" i="6"/>
  <c r="H7" i="6"/>
  <c r="H9" i="6"/>
  <c r="H10" i="6"/>
  <c r="H11" i="6"/>
  <c r="H13" i="6"/>
  <c r="H14" i="6"/>
  <c r="H15" i="6"/>
  <c r="H16" i="6"/>
  <c r="H17" i="6"/>
  <c r="H19" i="6"/>
  <c r="H20" i="6"/>
  <c r="H22" i="6"/>
  <c r="H23" i="6"/>
  <c r="H24" i="6"/>
  <c r="H25" i="6"/>
  <c r="H26" i="6"/>
  <c r="H27" i="6"/>
  <c r="H29" i="6"/>
  <c r="H28" i="6"/>
  <c r="H30" i="6"/>
  <c r="G30" i="6"/>
  <c r="F30" i="6"/>
  <c r="F28" i="6"/>
  <c r="F29" i="6"/>
  <c r="D8" i="10"/>
  <c r="D13" i="10"/>
  <c r="D12" i="10"/>
  <c r="D11" i="10"/>
  <c r="D10" i="10"/>
  <c r="D9" i="10"/>
  <c r="D6" i="10"/>
  <c r="D5" i="10"/>
  <c r="D4" i="10"/>
  <c r="D3" i="10"/>
  <c r="G29" i="6"/>
  <c r="G28" i="6"/>
  <c r="D33" i="17"/>
  <c r="V6" i="1"/>
  <c r="L18" i="15"/>
  <c r="M27" i="8"/>
  <c r="Q28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<sst xmlns="http://schemas.openxmlformats.org/spreadsheetml/2006/main" count="1830" uniqueCount="745">
  <si>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</si>
  <si>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</si>
  <si>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</si>
  <si>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</si>
  <si>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</si>
  <si>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</si>
  <si>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</si>
  <si>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</si>
  <si>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</si>
  <si>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</si>
  <si>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</si>
  <si>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</si>
  <si>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</si>
  <si>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</si>
  <si>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</si>
  <si>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</si>
  <si>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</si>
  <si>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</si>
  <si>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</si>
  <si>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</si>
  <si>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</si>
  <si>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</si>
  <si>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</si>
  <si>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</si>
  <si>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</si>
  <si>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</si>
  <si>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</si>
  <si>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</si>
  <si>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</si>
  <si>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</si>
  <si>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</si>
  <si>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</si>
  <si>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</si>
  <si>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</si>
  <si>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</si>
  <si>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</si>
  <si>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</si>
  <si>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</si>
  <si>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</si>
  <si>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</si>
  <si>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</si>
  <si>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</si>
  <si>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</si>
  <si>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</si>
  <si>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</si>
  <si>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</si>
  <si>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</si>
  <si>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</si>
  <si>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</si>
  <si>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</si>
  <si>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</si>
  <si>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</si>
  <si>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</si>
  <si>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</si>
  <si>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</si>
  <si>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</si>
  <si>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</si>
  <si>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</si>
  <si>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</si>
  <si>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</si>
  <si>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</si>
  <si>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</si>
  <si>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</si>
  <si>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</si>
  <si>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</si>
  <si>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</si>
  <si>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</si>
  <si>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</si>
  <si>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</si>
  <si>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</si>
  <si>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</si>
  <si>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</si>
  <si>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</si>
  <si>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</si>
  <si>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</si>
  <si>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</si>
  <si>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</si>
  <si>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</si>
  <si>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</si>
  <si>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</si>
  <si>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</si>
  <si>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</si>
  <si>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</si>
  <si>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</si>
  <si>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</si>
  <si>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</si>
  <si>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</si>
  <si>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</si>
  <si>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</si>
  <si>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</si>
  <si>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</si>
  <si>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</si>
  <si>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</si>
  <si>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</si>
  <si>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</si>
  <si>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</si>
  <si>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</si>
  <si>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</si>
  <si>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</si>
  <si>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</si>
  <si>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</si>
  <si>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</si>
  <si>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</si>
  <si>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</si>
  <si>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</si>
  <si>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</si>
  <si>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</si>
  <si>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</si>
  <si>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</si>
  <si>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</si>
  <si>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</si>
  <si>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</si>
  <si>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</si>
  <si>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</si>
  <si>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</si>
  <si>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</si>
  <si>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</si>
  <si>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</si>
  <si>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</si>
  <si>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</si>
  <si>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</si>
  <si>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</si>
  <si>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</si>
  <si>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</si>
  <si>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</si>
  <si>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</si>
  <si>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</si>
  <si>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</si>
  <si>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</si>
  <si>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</si>
  <si>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</si>
  <si>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</si>
  <si>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</si>
  <si>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</si>
  <si>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</si>
  <si>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</si>
  <si>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</si>
  <si>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</si>
  <si>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</si>
  <si>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</si>
  <si>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</si>
  <si>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</si>
  <si>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</si>
  <si>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</si>
  <si>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</si>
  <si>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</si>
  <si>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</si>
  <si>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</si>
  <si>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</si>
  <si>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</si>
  <si>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</si>
  <si>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</si>
  <si>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</si>
  <si>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</si>
  <si>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</si>
  <si>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</si>
  <si>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</si>
  <si>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</si>
  <si>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</si>
  <si>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</si>
  <si>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</si>
  <si>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</si>
  <si>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</si>
  <si>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</si>
  <si>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</si>
  <si>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</si>
  <si>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</si>
  <si>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</si>
  <si>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</si>
  <si>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</si>
  <si>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</si>
  <si>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</si>
  <si>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</si>
  <si>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</si>
  <si>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</si>
  <si>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</si>
  <si>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</si>
  <si>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</si>
  <si>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</si>
  <si>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</si>
  <si>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</si>
  <si>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</si>
  <si>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</si>
  <si>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</si>
  <si>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</si>
  <si>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</si>
  <si>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</si>
  <si>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</si>
  <si>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</si>
  <si>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Feiyu Tech</t>
  </si>
  <si>
    <t>FYDosAutopilot</t>
  </si>
  <si>
    <t>FY41AP GPS &amp; OSD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</si>
  <si>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</si>
  <si>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</si>
  <si>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</si>
  <si>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</si>
  <si>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</si>
  <si>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</si>
  <si>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</si>
  <si>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</si>
  <si>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</si>
  <si>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</si>
  <si>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</si>
  <si>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</si>
  <si>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</si>
  <si>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</si>
  <si>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</si>
  <si>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</si>
  <si>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</si>
  <si>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</si>
  <si>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</si>
  <si>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</si>
  <si>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</si>
  <si>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</si>
  <si>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</si>
  <si>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</si>
  <si>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</si>
  <si>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</si>
  <si>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</si>
  <si>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</si>
  <si>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</si>
  <si>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</si>
  <si>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</si>
  <si>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</si>
  <si>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</si>
  <si>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</si>
  <si>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</si>
  <si>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</si>
  <si>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</si>
  <si>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</si>
  <si>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</si>
  <si>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</si>
  <si>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</si>
  <si>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</si>
  <si>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</si>
  <si>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</si>
  <si>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</si>
  <si>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</si>
  <si>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</si>
  <si>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</si>
  <si>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</si>
  <si>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</si>
  <si>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</si>
  <si>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</si>
  <si>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</si>
  <si>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</si>
  <si>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</si>
  <si>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</si>
  <si>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</si>
  <si>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</si>
  <si>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</si>
  <si>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</si>
  <si>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</si>
  <si>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</si>
  <si>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</si>
  <si>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</si>
  <si>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</si>
  <si>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</si>
  <si>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</si>
  <si>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</si>
  <si>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</si>
  <si>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</si>
  <si>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</si>
  <si>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</si>
  <si>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</si>
  <si>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</si>
  <si>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</si>
  <si>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</si>
  <si>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</si>
  <si>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</si>
  <si>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</si>
  <si>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</si>
  <si>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</si>
  <si>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</si>
  <si>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</si>
  <si>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</si>
  <si>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</si>
  <si>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</si>
  <si>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</si>
  <si>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</si>
  <si>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</si>
  <si>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</si>
  <si>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</si>
  <si>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</si>
  <si>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</si>
  <si>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</si>
  <si>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</si>
  <si>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</si>
  <si>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</si>
  <si>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</si>
  <si>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</si>
  <si>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</si>
  <si>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</si>
  <si>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</si>
  <si>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</si>
  <si>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</si>
  <si>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</si>
  <si>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</si>
  <si>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</si>
  <si>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</si>
  <si>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</si>
  <si>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</si>
  <si>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</si>
  <si>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</si>
  <si>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</si>
  <si>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</si>
  <si>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</si>
  <si>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</si>
  <si>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</si>
  <si>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</si>
  <si>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</si>
  <si>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</si>
  <si>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</si>
  <si>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</si>
  <si>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</si>
  <si>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</si>
  <si>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</si>
  <si>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</si>
  <si>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</si>
  <si>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</si>
  <si>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</si>
  <si>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</si>
  <si>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</si>
  <si>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</si>
  <si>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</si>
  <si>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</si>
  <si>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</si>
  <si>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</si>
  <si>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</si>
  <si>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</si>
  <si>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</si>
  <si>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</si>
  <si>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</si>
  <si>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</si>
  <si>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</si>
  <si>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</si>
  <si>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</si>
  <si>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</si>
  <si>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</si>
  <si>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</si>
  <si>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</si>
  <si>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</si>
  <si>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</si>
  <si>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</si>
  <si>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</si>
  <si>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</si>
  <si>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</si>
  <si>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</si>
  <si>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</si>
  <si>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</si>
  <si>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</si>
  <si>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</si>
  <si>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</si>
  <si>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</si>
  <si>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</si>
  <si>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</si>
  <si>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</si>
  <si>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</si>
  <si>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</si>
  <si>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</si>
  <si>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</si>
  <si>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</si>
  <si>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</si>
  <si>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</si>
  <si>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</si>
  <si>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</si>
  <si>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</si>
  <si>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</si>
  <si>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</si>
  <si>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</si>
  <si>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</si>
  <si>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</si>
  <si>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</si>
  <si>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</si>
  <si>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</si>
  <si>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</si>
  <si>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</si>
  <si>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</si>
  <si>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</si>
  <si>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</si>
  <si>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</si>
  <si>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</si>
  <si>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</si>
  <si>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</si>
  <si>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</si>
  <si>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</si>
  <si>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</si>
  <si>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</si>
  <si>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</si>
  <si>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</si>
  <si>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</si>
  <si>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</si>
  <si>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</si>
  <si>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</si>
  <si>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</si>
  <si>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</si>
  <si>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</si>
  <si>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</si>
  <si>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</si>
  <si>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</si>
  <si>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</si>
  <si>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</si>
  <si>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</si>
  <si>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</si>
  <si>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</si>
  <si>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</si>
  <si>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</si>
  <si>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</si>
  <si>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</si>
  <si>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</si>
  <si>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</si>
  <si>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</si>
  <si>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</si>
  <si>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</si>
  <si>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</si>
  <si>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</si>
  <si>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</si>
  <si>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</si>
  <si>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</si>
  <si>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</si>
  <si>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</si>
  <si>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</si>
  <si>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</si>
  <si>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</si>
  <si>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</si>
  <si>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</si>
  <si>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</si>
  <si>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</si>
  <si>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</si>
  <si>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</si>
  <si>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</si>
  <si>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</si>
  <si>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</si>
  <si>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</si>
  <si>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</si>
  <si>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</si>
  <si>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</si>
  <si>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</si>
  <si>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</si>
  <si>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</si>
  <si>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</si>
  <si>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</si>
  <si>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</si>
  <si>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</si>
  <si>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</si>
  <si>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</si>
  <si>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</si>
  <si>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</si>
  <si>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</si>
  <si>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</si>
  <si>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</si>
  <si>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</si>
  <si>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</si>
  <si>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</si>
  <si>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</si>
  <si>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</si>
  <si>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</si>
  <si>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</si>
  <si>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</si>
  <si>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</si>
  <si>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</si>
  <si>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QTY</t>
  </si>
  <si>
    <t>GemFan</t>
  </si>
  <si>
    <t>Paddle Style</t>
  </si>
  <si>
    <t>MTCP1455T</t>
  </si>
  <si>
    <t>Gemfan</t>
  </si>
  <si>
    <t>Graupner</t>
  </si>
  <si>
    <t>E-Prop</t>
  </si>
  <si>
    <t>Hobby</t>
  </si>
  <si>
    <t>DJI S800 Style</t>
  </si>
  <si>
    <t>Scoop Style</t>
  </si>
  <si>
    <t>MTCP1355T</t>
  </si>
  <si>
    <t>MTCP1155T</t>
  </si>
  <si>
    <t>APC</t>
  </si>
  <si>
    <t>APC Prop</t>
  </si>
  <si>
    <t>P</t>
  </si>
  <si>
    <t>MTCP1255T</t>
  </si>
  <si>
    <t>CF Folding Prop</t>
  </si>
  <si>
    <t>DJI Folding</t>
  </si>
  <si>
    <t>High Performance</t>
  </si>
  <si>
    <t>CF Prop</t>
  </si>
  <si>
    <t>HE CF Prop</t>
  </si>
  <si>
    <t>Sigma</t>
  </si>
  <si>
    <t>Multicopter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</si>
  <si>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</si>
  <si>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</si>
  <si>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</si>
  <si>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</si>
  <si>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</si>
  <si>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</si>
  <si>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</si>
  <si>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</si>
  <si>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</si>
  <si>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</si>
  <si>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</si>
  <si>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</si>
  <si>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</si>
  <si>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</si>
  <si>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</si>
  <si>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</si>
  <si>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</si>
  <si>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</si>
  <si>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</si>
  <si>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</si>
  <si>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</si>
  <si>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</si>
  <si>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</si>
  <si>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COMPONENT</t>
  </si>
  <si>
    <t>Round 3</t>
  </si>
  <si>
    <t>T8FG Super</t>
  </si>
  <si>
    <t>$/mAh</t>
  </si>
  <si>
    <t>mAh/g</t>
  </si>
  <si>
    <t>Round 1 (4 items)</t>
  </si>
  <si>
    <t>Round 2:</t>
  </si>
  <si>
    <t>8 Motors</t>
  </si>
  <si>
    <t>Not Foldable</t>
  </si>
  <si>
    <t xml:space="preserve">Unfamiliar </t>
  </si>
  <si>
    <t>H3-3D is better</t>
  </si>
  <si>
    <t>Low Price</t>
  </si>
  <si>
    <t>4/7/14 8:51PM</t>
  </si>
  <si>
    <t>Skipped</t>
  </si>
  <si>
    <t>&gt; $0.03 per mAh</t>
  </si>
  <si>
    <t>Elimination</t>
  </si>
  <si>
    <t>ESC &gt; 50</t>
  </si>
  <si>
    <t>12 &lt;= Prop &lt;= 16</t>
  </si>
  <si>
    <t>Weak Material</t>
  </si>
  <si>
    <t>PC</t>
  </si>
  <si>
    <t>Round 2 (0 items)</t>
  </si>
  <si>
    <t>Round 3:</t>
  </si>
  <si>
    <t xml:space="preserve">Selected </t>
  </si>
  <si>
    <t>Too Heavy</t>
  </si>
  <si>
    <t>Payload &lt; 3.5</t>
  </si>
  <si>
    <t>Selected</t>
  </si>
  <si>
    <t>Round 3 (3 Items)</t>
  </si>
  <si>
    <t>Pixhawk is newer</t>
  </si>
  <si>
    <t>Want to try competitor</t>
  </si>
  <si>
    <t>Trust DJI Gimbal over Arris</t>
  </si>
  <si>
    <t>All Motors &lt; 50A</t>
  </si>
  <si>
    <t>Undo &lt; 5 LiPo</t>
  </si>
  <si>
    <t>500 &lt;= Max Watts &lt;= 850</t>
  </si>
  <si>
    <t>Simon K Firmware?</t>
  </si>
  <si>
    <t>Not Turnigy</t>
  </si>
  <si>
    <t>&lt; 7 mAh/g</t>
  </si>
  <si>
    <t>$/Prop</t>
  </si>
  <si>
    <t>LINK</t>
  </si>
  <si>
    <t>http://www.hobbyking.com</t>
  </si>
  <si>
    <t>Round 4</t>
  </si>
  <si>
    <t>5D Mark III with 24mm f/2.8</t>
  </si>
  <si>
    <t>14.8v 13inX4.4in (1120g @ 65%throttle)</t>
  </si>
  <si>
    <t>14.8v 16inX5.4in (1060g @ 65%throttle)</t>
  </si>
  <si>
    <t>22.2v 13inX4.4in (1070g @ 65%throttle)</t>
  </si>
  <si>
    <t>14.8v 14inX4.8in (1000g @ 65%throttle)</t>
  </si>
  <si>
    <t>14.8v 15inX5in (1190g @ 65%throttle)</t>
  </si>
  <si>
    <t>22.2v 15inX5in (1110g @ 65%throttle)</t>
  </si>
  <si>
    <t>22.2v 14inX4.8in (1150g @ 65%throttle)</t>
  </si>
  <si>
    <t>22.2v 15inX5in (1150g @ 65%throttle)</t>
  </si>
  <si>
    <t>22.2v 14inX4.8in (1200g @ 65%throttle)</t>
  </si>
  <si>
    <t>14.8v 15inX5.5in (1125g @ 7.7 Amps)</t>
  </si>
  <si>
    <t>22.2v 12inX5.5in (1225g @ 8.1 Amps)</t>
  </si>
  <si>
    <t>14.8v 14inX5.5in (1000g @ 7.96 Amps)</t>
  </si>
  <si>
    <t>22.2v 12inX5.5in (1250g @ 8.56 Amps)</t>
  </si>
  <si>
    <t>Round 4:</t>
  </si>
  <si>
    <t>Comments</t>
  </si>
  <si>
    <t>Too Powerful</t>
  </si>
  <si>
    <t>Too Weak</t>
  </si>
  <si>
    <t>6100rpm at 8.48 g/W</t>
  </si>
  <si>
    <t>4400rpm at 9.02g/W</t>
  </si>
  <si>
    <t>5300rpm at 7.93g/W</t>
  </si>
  <si>
    <t>3800 at 9.72g/W, 6300 at 7.23 g/W</t>
  </si>
  <si>
    <t>5000rpm at 7.87 g/W, 4800rpm at 8.10g/W</t>
  </si>
  <si>
    <t>4600rpm at 9.13g/W</t>
  </si>
  <si>
    <t>6100rpm at 8.48</t>
  </si>
  <si>
    <t>Very simliar to U3 but older version</t>
  </si>
  <si>
    <t>Better Option</t>
  </si>
  <si>
    <t>Only data for 4S</t>
  </si>
  <si>
    <t>4S and 6S Data</t>
  </si>
  <si>
    <t>Only data for 6S</t>
  </si>
  <si>
    <t>High Contender</t>
  </si>
  <si>
    <t>High contender</t>
  </si>
  <si>
    <t>4/12/14 11:27PM</t>
  </si>
  <si>
    <t>Remove 5S Batteries</t>
  </si>
  <si>
    <t>One per pack</t>
  </si>
  <si>
    <t>S 45A</t>
  </si>
  <si>
    <t>YES</t>
  </si>
  <si>
    <t>http://www.diyquadcopters.com/T-Motor-45a-ESC-with-simonK-factory-firmware_p_154.html</t>
  </si>
  <si>
    <t>S 35A</t>
  </si>
  <si>
    <t>Lumenier</t>
  </si>
  <si>
    <t>5200mAh 4S 35C</t>
  </si>
  <si>
    <t>http://www.getfpv.com/batteries/flight-packs/lumenier-5200mah-4s-35c-lipo-battery.html</t>
  </si>
  <si>
    <t>Added</t>
  </si>
  <si>
    <t>All Motors &lt; 40A</t>
  </si>
  <si>
    <t>Round 5</t>
  </si>
  <si>
    <t>Round 4 (0 Items)</t>
  </si>
  <si>
    <t>Round 5:</t>
  </si>
  <si>
    <t>Xaircraft</t>
  </si>
  <si>
    <t>mAh/mm^3</t>
  </si>
  <si>
    <t>4/14/14 4:24PM</t>
  </si>
  <si>
    <t>5400 &lt; mAh &lt; 7000</t>
  </si>
  <si>
    <t>Other Motor Brands to Consider:</t>
  </si>
  <si>
    <t>Avroto</t>
  </si>
  <si>
    <t>Montorc.com</t>
  </si>
  <si>
    <t>helipal.com</t>
  </si>
  <si>
    <t>Vici</t>
  </si>
  <si>
    <t>Other Gimbal Brands:</t>
  </si>
  <si>
    <t>Storm</t>
  </si>
  <si>
    <t>Airy</t>
  </si>
  <si>
    <t>Walkera</t>
  </si>
  <si>
    <t>Other Battery Brands to Consider:</t>
  </si>
  <si>
    <t>Align</t>
  </si>
  <si>
    <t>Ace</t>
  </si>
  <si>
    <t>myrcmodel.com</t>
  </si>
  <si>
    <t>SunnySky</t>
  </si>
  <si>
    <t>http://www.diyquadcopters.com</t>
  </si>
  <si>
    <t>http://xaircraftamerica.com</t>
  </si>
  <si>
    <t>Round 6</t>
  </si>
  <si>
    <t>Round 5 (3 Items)</t>
  </si>
  <si>
    <t>Round 6 (1 Items)</t>
  </si>
  <si>
    <t>4/16/14 10:26AM</t>
  </si>
  <si>
    <t>5800mAh 4S 35C</t>
  </si>
  <si>
    <t>Bill of Materials</t>
  </si>
  <si>
    <t>Round 0: Potential Combinations</t>
  </si>
  <si>
    <t>This Round: Potential Combinations</t>
  </si>
  <si>
    <t>HE CF TL Series Prop</t>
  </si>
  <si>
    <t>T Style</t>
  </si>
  <si>
    <t>http://www.hobby-wing.com/</t>
  </si>
  <si>
    <t>http://www.rc-drones.com</t>
  </si>
  <si>
    <t>6.3mm</t>
  </si>
  <si>
    <t>4.0mm</t>
  </si>
  <si>
    <t>T-Style</t>
  </si>
  <si>
    <t>Not T Style Mount</t>
  </si>
  <si>
    <t>Folding</t>
  </si>
  <si>
    <t>8mm</t>
  </si>
  <si>
    <t>6mm</t>
  </si>
  <si>
    <t>APC 12x5.5</t>
  </si>
  <si>
    <t>DJI 15x5.2</t>
  </si>
  <si>
    <t>GF 14x7</t>
  </si>
  <si>
    <t>GF 11x5.5</t>
  </si>
  <si>
    <t>GF 12x5.5</t>
  </si>
  <si>
    <t>GF 13x5.5</t>
  </si>
  <si>
    <t>GF 14x5.5</t>
  </si>
  <si>
    <t>GF 15x5.5</t>
  </si>
  <si>
    <t>GF 15x7.5</t>
  </si>
  <si>
    <t>GF 15.5x5.5</t>
  </si>
  <si>
    <t>GF ?</t>
  </si>
  <si>
    <t>Gr 11x5</t>
  </si>
  <si>
    <t>Gr 14x8</t>
  </si>
  <si>
    <t>HP 16x5.5</t>
  </si>
  <si>
    <t>HP 15x5.5</t>
  </si>
  <si>
    <t>Mt 11x5.5</t>
  </si>
  <si>
    <t>Mt 12x5.5</t>
  </si>
  <si>
    <t>Mt 13x5.5</t>
  </si>
  <si>
    <t>Mt 14x5.5</t>
  </si>
  <si>
    <t>RCT 15x5</t>
  </si>
  <si>
    <t>S 12x3.8</t>
  </si>
  <si>
    <t>S 13x4.0</t>
  </si>
  <si>
    <t>S 15x4.0</t>
  </si>
  <si>
    <t>S 15x5.5</t>
  </si>
  <si>
    <t>S 17x5.5</t>
  </si>
  <si>
    <t>T 12x5.5</t>
  </si>
  <si>
    <t>T 13x5.5</t>
  </si>
  <si>
    <t>T 15x5.5</t>
  </si>
  <si>
    <t>T 16x5.5</t>
  </si>
  <si>
    <t>T 17x5.5</t>
  </si>
  <si>
    <t>Round 6:</t>
  </si>
  <si>
    <t>% Reduction:</t>
  </si>
  <si>
    <t>http://gopro.com</t>
  </si>
  <si>
    <t>http://www.futaba-rc.com</t>
  </si>
  <si>
    <t>Components Selected During:</t>
  </si>
  <si>
    <t>Transfer</t>
  </si>
  <si>
    <t>Money Spent</t>
  </si>
  <si>
    <t>WHCC Order #</t>
  </si>
  <si>
    <t>diyquadcopters.com Order #</t>
  </si>
  <si>
    <t>Funds</t>
  </si>
  <si>
    <t>FlySafe Training</t>
  </si>
  <si>
    <t>xaircraftamerica.com Order #</t>
  </si>
  <si>
    <t>Helipal.com Order #</t>
  </si>
  <si>
    <t>Total Expenses:</t>
  </si>
  <si>
    <t>Funds remaining:</t>
  </si>
  <si>
    <t>Items</t>
  </si>
  <si>
    <t>Motors, ESCs, Props</t>
  </si>
  <si>
    <t>Training</t>
  </si>
  <si>
    <t>Frame, FPV</t>
  </si>
  <si>
    <t>Packaging and Postage</t>
  </si>
  <si>
    <t>Actual Cost</t>
  </si>
  <si>
    <t>Estimated Cost</t>
  </si>
  <si>
    <t>Spot Trace - GPS Tracker</t>
  </si>
  <si>
    <t>3drobotics.com</t>
  </si>
  <si>
    <t>FC, Telemetry</t>
  </si>
  <si>
    <t>Possible Savings</t>
  </si>
  <si>
    <t>rcplanet.com</t>
  </si>
  <si>
    <t>Artsy Couture Order 4/17/14</t>
  </si>
  <si>
    <t>Artsy Couture Order 4/?/14</t>
  </si>
  <si>
    <t>Shipping Expenses</t>
  </si>
  <si>
    <t>H3-3D Gimbal</t>
  </si>
  <si>
    <t>Vendor</t>
  </si>
  <si>
    <t>Photo Prints</t>
  </si>
  <si>
    <t>Canvas Wraps Batch 1</t>
  </si>
  <si>
    <t>Canvas Wraps Batch 2</t>
  </si>
  <si>
    <t xml:space="preserve"> </t>
  </si>
  <si>
    <t>Shipping Expenses Round 2</t>
  </si>
  <si>
    <t>Photo Prints 2</t>
  </si>
  <si>
    <t>Dennis</t>
  </si>
  <si>
    <t>Option 2 – 8x10  – Grain Belt Beer</t>
  </si>
  <si>
    <t>Patrick</t>
  </si>
  <si>
    <t>Fuentes</t>
  </si>
  <si>
    <t>Option 2 – 11x14 – Grain Belt Beer</t>
  </si>
  <si>
    <t>Justina</t>
  </si>
  <si>
    <t>Christiansen</t>
  </si>
  <si>
    <t>Option 2 – 12x18 – Grain Belt Beer</t>
  </si>
  <si>
    <t>Joel</t>
  </si>
  <si>
    <t>Wuorio</t>
  </si>
  <si>
    <t>Will</t>
  </si>
  <si>
    <t>Mitchel</t>
  </si>
  <si>
    <t>Option 6 – 11x14 – Downtown Minneapolis #2</t>
  </si>
  <si>
    <t>Koop</t>
  </si>
  <si>
    <t>Sandy</t>
  </si>
  <si>
    <t>Kirstie</t>
  </si>
  <si>
    <t>Kimball</t>
  </si>
  <si>
    <t>x</t>
  </si>
  <si>
    <t>Kevin</t>
  </si>
  <si>
    <t>Hoffman</t>
  </si>
  <si>
    <t>Brandon</t>
  </si>
  <si>
    <t>Vasquez</t>
  </si>
  <si>
    <t>401 N. 3rd St. Suite 550, Minneapolis, MN 55401</t>
  </si>
  <si>
    <t>Meet Minneapolis Attn Brandon Vasquez 250 Marquette Avenue South, Suite 1300 Minneapolis, MN 55401</t>
  </si>
  <si>
    <t>Pernu</t>
  </si>
  <si>
    <t>Chad</t>
  </si>
  <si>
    <t>Pelarksi</t>
  </si>
  <si>
    <t>Option 1 – 11x14 – Ramp Spiral #1</t>
  </si>
  <si>
    <t>Option 7 – 11x14 – Downtown Minneapolis #3</t>
  </si>
  <si>
    <t>Andrew</t>
  </si>
  <si>
    <t>Morris</t>
  </si>
  <si>
    <t>Option 3 – 11x14 – Downtown Minneapolis #1</t>
  </si>
  <si>
    <t>Option 4 – 11x14 – Minneapolis from Loring Park</t>
  </si>
  <si>
    <t>Gayle</t>
  </si>
  <si>
    <t>Gwenne</t>
  </si>
  <si>
    <t>Gustafson</t>
  </si>
  <si>
    <t>Aviv</t>
  </si>
  <si>
    <t>Baron</t>
  </si>
  <si>
    <t>Option 7 – 8x10 – Downtown Minneapolis #3</t>
  </si>
  <si>
    <t>Option 5 - 8x10 - Downtown Saint Paul</t>
  </si>
  <si>
    <t>Option 1 – 8x10 – Ramp Spiral #1</t>
  </si>
  <si>
    <t>Option 8 – 8x10 – Target HQ</t>
  </si>
  <si>
    <t>Brandon's</t>
  </si>
  <si>
    <t>Co-Worker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</si>
</sst>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  <numFmt numFmtId="169" formatCode="_(&quot;$&quot;* #,##0.000_);_(&quot;$&quot;* \(#,##0.000\);_(&quot;$&quot;* &quot;-&quot;??_);_(@_)"/>
  </numFmts>
  <fonts count="2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9" tint="0.39997558519241921"/>
      <name val="Calibri"/>
      <scheme val="minor"/>
    </font>
    <font>
      <sz val="10"/>
      <color theme="0"/>
      <name val="Calibri"/>
      <scheme val="minor"/>
    </font>
    <font>
      <sz val="10"/>
      <name val="Calibri"/>
      <scheme val="minor"/>
    </font>
    <font>
      <sz val="8"/>
      <color theme="0"/>
      <name val="Calibri"/>
      <scheme val="minor"/>
    </font>
    <font>
      <sz val="9"/>
      <color rgb="FF000000"/>
      <name val="Arial"/>
      <family val="2"/>
    </font>
    <font>
      <sz val="11"/>
      <color rgb="FF0B1902"/>
      <name val="Arial"/>
      <family val="2"/>
    </font>
    <font>
      <i/>
      <sz val="11"/>
      <color rgb="FF121A0D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FC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498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0" fillId="8" borderId="3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14" fontId="0" fillId="0" borderId="0" xfId="0" applyNumberFormat="1"/>
    <xf numFmtId="166" fontId="0" fillId="0" borderId="0" xfId="0" applyNumberFormat="1"/>
    <xf numFmtId="0" fontId="0" fillId="12" borderId="0" xfId="0" applyFill="1"/>
    <xf numFmtId="0" fontId="0" fillId="13" borderId="0" xfId="0" applyFill="1"/>
    <xf numFmtId="0" fontId="3" fillId="8" borderId="3" xfId="1" applyFill="1" applyBorder="1" applyAlignment="1">
      <alignment horizontal="left" vertical="center" readingOrder="1"/>
    </xf>
    <xf numFmtId="0" fontId="0" fillId="12" borderId="3" xfId="0" applyFont="1" applyFill="1" applyBorder="1" applyAlignment="1">
      <alignment horizontal="left" vertical="center"/>
    </xf>
    <xf numFmtId="0" fontId="0" fillId="8" borderId="3" xfId="0" applyNumberFormat="1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right" vertical="center" readingOrder="1"/>
    </xf>
    <xf numFmtId="44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169" fontId="0" fillId="9" borderId="3" xfId="0" applyNumberFormat="1" applyFont="1" applyFill="1" applyBorder="1" applyAlignment="1">
      <alignment horizontal="right" vertical="center"/>
    </xf>
    <xf numFmtId="49" fontId="0" fillId="8" borderId="0" xfId="0" applyNumberFormat="1" applyFont="1" applyFill="1" applyBorder="1" applyAlignment="1">
      <alignment horizontal="right" vertical="center" readingOrder="1"/>
    </xf>
    <xf numFmtId="166" fontId="0" fillId="8" borderId="0" xfId="0" applyNumberFormat="1" applyFont="1" applyFill="1" applyBorder="1" applyAlignment="1">
      <alignment horizontal="right" vertical="center"/>
    </xf>
    <xf numFmtId="165" fontId="3" fillId="8" borderId="0" xfId="1" applyNumberFormat="1" applyFill="1" applyBorder="1" applyAlignment="1">
      <alignment horizontal="left" vertical="center"/>
    </xf>
    <xf numFmtId="0" fontId="4" fillId="8" borderId="0" xfId="0" applyFont="1" applyFill="1"/>
    <xf numFmtId="165" fontId="0" fillId="8" borderId="0" xfId="0" applyNumberFormat="1" applyFont="1" applyFill="1" applyBorder="1" applyAlignment="1">
      <alignment horizontal="left" vertical="center"/>
    </xf>
    <xf numFmtId="1" fontId="0" fillId="9" borderId="0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textRotation="45" readingOrder="1"/>
    </xf>
    <xf numFmtId="1" fontId="1" fillId="2" borderId="6" xfId="0" applyNumberFormat="1" applyFont="1" applyFill="1" applyBorder="1" applyAlignment="1">
      <alignment horizontal="center" textRotation="45" readingOrder="1"/>
    </xf>
    <xf numFmtId="1" fontId="1" fillId="2" borderId="3" xfId="0" applyNumberFormat="1" applyFont="1" applyFill="1" applyBorder="1" applyAlignment="1">
      <alignment horizontal="center" textRotation="45" readingOrder="1"/>
    </xf>
    <xf numFmtId="0" fontId="0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/>
    </xf>
    <xf numFmtId="2" fontId="0" fillId="8" borderId="3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6" borderId="3" xfId="0" applyFont="1" applyFill="1" applyBorder="1" applyAlignment="1">
      <alignment horizontal="center" vertical="center"/>
    </xf>
    <xf numFmtId="0" fontId="2" fillId="15" borderId="0" xfId="0" applyFont="1" applyFill="1"/>
    <xf numFmtId="166" fontId="0" fillId="8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44" fontId="0" fillId="3" borderId="3" xfId="0" applyNumberFormat="1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0" fontId="0" fillId="16" borderId="0" xfId="0" applyFill="1"/>
    <xf numFmtId="0" fontId="0" fillId="17" borderId="0" xfId="0" applyFill="1"/>
    <xf numFmtId="0" fontId="0" fillId="3" borderId="3" xfId="0" applyFont="1" applyFill="1" applyBorder="1" applyAlignment="1">
      <alignment horizontal="right" vertical="center"/>
    </xf>
    <xf numFmtId="1" fontId="0" fillId="3" borderId="3" xfId="0" applyNumberFormat="1" applyFont="1" applyFill="1" applyBorder="1" applyAlignment="1">
      <alignment horizontal="right" vertical="center"/>
    </xf>
    <xf numFmtId="0" fontId="3" fillId="3" borderId="3" xfId="1" applyFill="1" applyBorder="1" applyAlignment="1">
      <alignment horizontal="left" vertical="center" readingOrder="1"/>
    </xf>
    <xf numFmtId="0" fontId="3" fillId="8" borderId="3" xfId="1" applyFill="1" applyBorder="1" applyAlignment="1">
      <alignment horizontal="left" readingOrder="1"/>
    </xf>
    <xf numFmtId="0" fontId="0" fillId="19" borderId="3" xfId="0" applyFont="1" applyFill="1" applyBorder="1" applyAlignment="1">
      <alignment horizontal="left" vertical="center"/>
    </xf>
    <xf numFmtId="0" fontId="0" fillId="19" borderId="0" xfId="0" applyFill="1"/>
    <xf numFmtId="0" fontId="0" fillId="20" borderId="3" xfId="0" applyFont="1" applyFill="1" applyBorder="1" applyAlignment="1">
      <alignment horizontal="left" vertical="center"/>
    </xf>
    <xf numFmtId="0" fontId="0" fillId="20" borderId="0" xfId="0" applyFill="1"/>
    <xf numFmtId="0" fontId="13" fillId="19" borderId="0" xfId="0" applyFont="1" applyFill="1"/>
    <xf numFmtId="49" fontId="12" fillId="8" borderId="0" xfId="0" applyNumberFormat="1" applyFont="1" applyFill="1" applyBorder="1" applyAlignment="1">
      <alignment horizontal="right" vertical="center"/>
    </xf>
    <xf numFmtId="0" fontId="0" fillId="20" borderId="0" xfId="0" applyFont="1" applyFill="1" applyBorder="1" applyAlignment="1">
      <alignment vertical="center"/>
    </xf>
    <xf numFmtId="2" fontId="0" fillId="8" borderId="0" xfId="0" applyNumberFormat="1" applyFont="1" applyFill="1" applyBorder="1" applyAlignment="1">
      <alignment horizontal="right" vertical="center"/>
    </xf>
    <xf numFmtId="49" fontId="0" fillId="8" borderId="0" xfId="0" applyNumberFormat="1" applyFill="1" applyBorder="1" applyAlignment="1">
      <alignment horizontal="right"/>
    </xf>
    <xf numFmtId="0" fontId="0" fillId="8" borderId="0" xfId="0" applyFill="1" applyBorder="1" applyAlignment="1">
      <alignment horizontal="right"/>
    </xf>
    <xf numFmtId="166" fontId="0" fillId="8" borderId="0" xfId="0" applyNumberFormat="1" applyFill="1" applyBorder="1" applyAlignment="1">
      <alignment horizontal="right"/>
    </xf>
    <xf numFmtId="0" fontId="3" fillId="8" borderId="0" xfId="1" applyFill="1" applyBorder="1" applyAlignment="1">
      <alignment horizontal="left"/>
    </xf>
    <xf numFmtId="0" fontId="0" fillId="14" borderId="0" xfId="0" applyFont="1" applyFill="1" applyBorder="1" applyAlignment="1">
      <alignment horizontal="left" vertical="center"/>
    </xf>
    <xf numFmtId="169" fontId="0" fillId="8" borderId="3" xfId="0" applyNumberFormat="1" applyFont="1" applyFill="1" applyBorder="1" applyAlignment="1">
      <alignment horizontal="right" vertical="center"/>
    </xf>
    <xf numFmtId="2" fontId="0" fillId="14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vertical="center"/>
    </xf>
    <xf numFmtId="0" fontId="0" fillId="21" borderId="0" xfId="0" applyFill="1"/>
    <xf numFmtId="0" fontId="0" fillId="21" borderId="0" xfId="0" applyNumberFormat="1" applyFill="1"/>
    <xf numFmtId="0" fontId="0" fillId="22" borderId="0" xfId="0" applyFill="1"/>
    <xf numFmtId="0" fontId="2" fillId="3" borderId="0" xfId="0" applyFont="1" applyFill="1" applyBorder="1" applyAlignment="1">
      <alignment horizontal="left" vertical="center" wrapText="1"/>
    </xf>
    <xf numFmtId="0" fontId="2" fillId="23" borderId="0" xfId="0" applyFont="1" applyFill="1" applyBorder="1" applyAlignment="1">
      <alignment horizontal="left" vertical="center" wrapText="1"/>
    </xf>
    <xf numFmtId="0" fontId="0" fillId="23" borderId="0" xfId="0" applyFill="1"/>
    <xf numFmtId="0" fontId="0" fillId="4" borderId="0" xfId="0" applyFill="1"/>
    <xf numFmtId="1" fontId="0" fillId="11" borderId="0" xfId="0" applyNumberFormat="1" applyFont="1" applyFill="1" applyBorder="1" applyAlignment="1">
      <alignment horizontal="right" vertical="center"/>
    </xf>
    <xf numFmtId="166" fontId="0" fillId="4" borderId="0" xfId="0" applyNumberFormat="1" applyFont="1" applyFill="1" applyBorder="1" applyAlignment="1">
      <alignment horizontal="right" vertical="center"/>
    </xf>
    <xf numFmtId="0" fontId="0" fillId="24" borderId="3" xfId="0" applyNumberFormat="1" applyFont="1" applyFill="1" applyBorder="1" applyAlignment="1">
      <alignment horizontal="right" vertical="center"/>
    </xf>
    <xf numFmtId="0" fontId="0" fillId="24" borderId="0" xfId="0" applyFill="1"/>
    <xf numFmtId="0" fontId="0" fillId="3" borderId="0" xfId="0" applyFont="1" applyFill="1" applyBorder="1" applyAlignment="1">
      <alignment horizontal="left" vertical="center"/>
    </xf>
    <xf numFmtId="49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vertical="center" readingOrder="1"/>
    </xf>
    <xf numFmtId="2" fontId="0" fillId="3" borderId="0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" fontId="0" fillId="3" borderId="0" xfId="0" applyNumberFormat="1" applyFont="1" applyFill="1" applyBorder="1" applyAlignment="1">
      <alignment vertical="center"/>
    </xf>
    <xf numFmtId="165" fontId="0" fillId="3" borderId="0" xfId="0" applyNumberFormat="1" applyFont="1" applyFill="1" applyBorder="1" applyAlignment="1">
      <alignment vertical="center"/>
    </xf>
    <xf numFmtId="44" fontId="0" fillId="3" borderId="0" xfId="0" applyNumberFormat="1" applyFont="1" applyFill="1" applyBorder="1" applyAlignment="1">
      <alignment vertical="center"/>
    </xf>
    <xf numFmtId="1" fontId="0" fillId="4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right" vertical="center"/>
    </xf>
    <xf numFmtId="1" fontId="0" fillId="0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2" fontId="0" fillId="0" borderId="3" xfId="0" applyNumberFormat="1" applyFont="1" applyFill="1" applyBorder="1" applyAlignment="1">
      <alignment horizontal="right" vertical="center"/>
    </xf>
    <xf numFmtId="0" fontId="3" fillId="0" borderId="3" xfId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right" vertical="center" readingOrder="1"/>
    </xf>
    <xf numFmtId="49" fontId="0" fillId="3" borderId="0" xfId="0" applyNumberFormat="1" applyFont="1" applyFill="1" applyBorder="1" applyAlignment="1">
      <alignment horizontal="right" vertical="center" readingOrder="1"/>
    </xf>
    <xf numFmtId="166" fontId="0" fillId="3" borderId="0" xfId="0" applyNumberFormat="1" applyFont="1" applyFill="1" applyBorder="1" applyAlignment="1">
      <alignment horizontal="right" vertical="center"/>
    </xf>
    <xf numFmtId="0" fontId="3" fillId="0" borderId="3" xfId="1" applyFill="1" applyBorder="1" applyAlignment="1">
      <alignment horizontal="left" vertical="center"/>
    </xf>
    <xf numFmtId="0" fontId="0" fillId="3" borderId="3" xfId="0" applyNumberFormat="1" applyFont="1" applyFill="1" applyBorder="1" applyAlignment="1">
      <alignment horizontal="right" vertical="center"/>
    </xf>
    <xf numFmtId="1" fontId="0" fillId="3" borderId="0" xfId="0" applyNumberFormat="1" applyFill="1"/>
    <xf numFmtId="44" fontId="0" fillId="3" borderId="3" xfId="0" applyNumberFormat="1" applyFont="1" applyFill="1" applyBorder="1" applyAlignment="1">
      <alignment horizontal="right" vertical="center"/>
    </xf>
    <xf numFmtId="169" fontId="0" fillId="3" borderId="3" xfId="0" applyNumberFormat="1" applyFont="1" applyFill="1" applyBorder="1" applyAlignment="1">
      <alignment horizontal="right" vertical="center"/>
    </xf>
    <xf numFmtId="2" fontId="0" fillId="3" borderId="3" xfId="0" applyNumberFormat="1" applyFont="1" applyFill="1" applyBorder="1" applyAlignment="1">
      <alignment horizontal="right" vertical="center"/>
    </xf>
    <xf numFmtId="0" fontId="0" fillId="8" borderId="3" xfId="0" applyFill="1" applyBorder="1" applyAlignment="1">
      <alignment horizontal="right"/>
    </xf>
    <xf numFmtId="1" fontId="0" fillId="8" borderId="3" xfId="0" applyNumberFormat="1" applyFill="1" applyBorder="1" applyAlignment="1">
      <alignment horizontal="right"/>
    </xf>
    <xf numFmtId="0" fontId="0" fillId="25" borderId="0" xfId="0" applyFill="1"/>
    <xf numFmtId="0" fontId="0" fillId="25" borderId="3" xfId="0" applyFill="1" applyBorder="1" applyAlignment="1">
      <alignment horizontal="center" vertical="center"/>
    </xf>
    <xf numFmtId="0" fontId="0" fillId="13" borderId="3" xfId="0" applyFont="1" applyFill="1" applyBorder="1" applyAlignment="1">
      <alignment horizontal="right" vertical="center"/>
    </xf>
    <xf numFmtId="0" fontId="0" fillId="13" borderId="3" xfId="0" applyFill="1" applyBorder="1" applyAlignment="1">
      <alignment horizontal="right"/>
    </xf>
    <xf numFmtId="0" fontId="0" fillId="13" borderId="3" xfId="0" applyFont="1" applyFill="1" applyBorder="1" applyAlignment="1">
      <alignment horizontal="right" vertical="center" readingOrder="1"/>
    </xf>
    <xf numFmtId="165" fontId="3" fillId="3" borderId="0" xfId="1" applyNumberForma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readingOrder="1"/>
    </xf>
    <xf numFmtId="0" fontId="0" fillId="0" borderId="3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2" fillId="18" borderId="3" xfId="0" applyFont="1" applyFill="1" applyBorder="1" applyAlignment="1">
      <alignment horizontal="left" vertical="center" wrapText="1"/>
    </xf>
    <xf numFmtId="0" fontId="0" fillId="18" borderId="0" xfId="0" applyFill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22" fontId="11" fillId="0" borderId="3" xfId="0" applyNumberFormat="1" applyFont="1" applyBorder="1"/>
    <xf numFmtId="0" fontId="11" fillId="0" borderId="3" xfId="0" applyFont="1" applyBorder="1"/>
    <xf numFmtId="0" fontId="11" fillId="0" borderId="3" xfId="0" applyFont="1" applyBorder="1" applyAlignment="1">
      <alignment horizontal="right" vertical="center"/>
    </xf>
    <xf numFmtId="168" fontId="11" fillId="0" borderId="3" xfId="10" applyNumberFormat="1" applyFont="1" applyBorder="1" applyAlignment="1">
      <alignment horizontal="right" vertical="center"/>
    </xf>
    <xf numFmtId="0" fontId="11" fillId="18" borderId="3" xfId="0" applyFont="1" applyFill="1" applyBorder="1"/>
    <xf numFmtId="0" fontId="11" fillId="3" borderId="3" xfId="0" applyFont="1" applyFill="1" applyBorder="1"/>
    <xf numFmtId="0" fontId="11" fillId="26" borderId="3" xfId="0" applyFont="1" applyFill="1" applyBorder="1"/>
    <xf numFmtId="167" fontId="11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 vertical="center"/>
    </xf>
    <xf numFmtId="0" fontId="11" fillId="0" borderId="9" xfId="0" applyFont="1" applyBorder="1"/>
    <xf numFmtId="22" fontId="11" fillId="0" borderId="10" xfId="0" applyNumberFormat="1" applyFont="1" applyBorder="1"/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166" fontId="14" fillId="2" borderId="3" xfId="0" applyNumberFormat="1" applyFont="1" applyFill="1" applyBorder="1" applyAlignment="1">
      <alignment horizontal="right" vertical="center"/>
    </xf>
    <xf numFmtId="166" fontId="14" fillId="2" borderId="3" xfId="0" applyNumberFormat="1" applyFont="1" applyFill="1" applyBorder="1" applyAlignment="1">
      <alignment horizontal="left" vertical="center"/>
    </xf>
    <xf numFmtId="0" fontId="11" fillId="18" borderId="3" xfId="0" applyFont="1" applyFill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167" fontId="15" fillId="0" borderId="3" xfId="0" applyNumberFormat="1" applyFont="1" applyBorder="1" applyAlignment="1">
      <alignment vertical="center"/>
    </xf>
    <xf numFmtId="1" fontId="15" fillId="0" borderId="3" xfId="0" applyNumberFormat="1" applyFont="1" applyBorder="1" applyAlignment="1">
      <alignment horizontal="right" vertical="center"/>
    </xf>
    <xf numFmtId="1" fontId="11" fillId="0" borderId="3" xfId="0" applyNumberFormat="1" applyFont="1" applyFill="1" applyBorder="1" applyAlignment="1">
      <alignment horizontal="right" vertical="center"/>
    </xf>
    <xf numFmtId="167" fontId="15" fillId="0" borderId="3" xfId="0" applyNumberFormat="1" applyFont="1" applyFill="1" applyBorder="1" applyAlignment="1">
      <alignment vertical="center"/>
    </xf>
    <xf numFmtId="167" fontId="11" fillId="0" borderId="3" xfId="0" applyNumberFormat="1" applyFont="1" applyFill="1" applyBorder="1" applyAlignment="1">
      <alignment vertical="center"/>
    </xf>
    <xf numFmtId="0" fontId="11" fillId="11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3" borderId="5" xfId="0" applyFont="1" applyFill="1" applyBorder="1" applyAlignment="1">
      <alignment vertical="center"/>
    </xf>
    <xf numFmtId="0" fontId="11" fillId="0" borderId="5" xfId="0" applyFont="1" applyBorder="1" applyAlignment="1">
      <alignment horizontal="right" vertical="center"/>
    </xf>
    <xf numFmtId="0" fontId="11" fillId="26" borderId="5" xfId="0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right" vertical="center"/>
    </xf>
    <xf numFmtId="168" fontId="14" fillId="2" borderId="5" xfId="10" applyNumberFormat="1" applyFont="1" applyFill="1" applyBorder="1" applyAlignment="1">
      <alignment horizontal="right" vertical="center"/>
    </xf>
    <xf numFmtId="166" fontId="14" fillId="2" borderId="5" xfId="0" applyNumberFormat="1" applyFont="1" applyFill="1" applyBorder="1" applyAlignment="1">
      <alignment horizontal="right" vertical="center"/>
    </xf>
    <xf numFmtId="167" fontId="14" fillId="2" borderId="5" xfId="0" applyNumberFormat="1" applyFont="1" applyFill="1" applyBorder="1" applyAlignment="1">
      <alignment horizontal="right" vertical="center"/>
    </xf>
    <xf numFmtId="168" fontId="11" fillId="0" borderId="0" xfId="0" applyNumberFormat="1" applyFont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168" fontId="14" fillId="2" borderId="3" xfId="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vertical="center"/>
    </xf>
    <xf numFmtId="168" fontId="11" fillId="10" borderId="3" xfId="0" applyNumberFormat="1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vertical="center"/>
    </xf>
    <xf numFmtId="168" fontId="11" fillId="3" borderId="3" xfId="0" applyNumberFormat="1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horizontal="left" vertical="center"/>
    </xf>
    <xf numFmtId="0" fontId="11" fillId="10" borderId="8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right" vertical="center"/>
    </xf>
    <xf numFmtId="168" fontId="16" fillId="2" borderId="3" xfId="1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vertical="center"/>
    </xf>
    <xf numFmtId="0" fontId="11" fillId="10" borderId="5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168" fontId="16" fillId="2" borderId="5" xfId="10" applyNumberFormat="1" applyFont="1" applyFill="1" applyBorder="1" applyAlignment="1">
      <alignment horizontal="right" vertical="center"/>
    </xf>
    <xf numFmtId="43" fontId="11" fillId="0" borderId="3" xfId="0" applyNumberFormat="1" applyFont="1" applyBorder="1" applyAlignment="1">
      <alignment horizontal="right"/>
    </xf>
    <xf numFmtId="165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center" textRotation="45" readingOrder="1"/>
    </xf>
    <xf numFmtId="165" fontId="1" fillId="2" borderId="1" xfId="0" applyNumberFormat="1" applyFont="1" applyFill="1" applyBorder="1" applyAlignment="1">
      <alignment horizontal="center" textRotation="45" readingOrder="1"/>
    </xf>
    <xf numFmtId="1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center" vertical="center"/>
    </xf>
    <xf numFmtId="44" fontId="0" fillId="9" borderId="0" xfId="0" applyNumberFormat="1" applyFont="1" applyFill="1" applyBorder="1" applyAlignment="1">
      <alignment horizontal="center" vertical="center"/>
    </xf>
    <xf numFmtId="0" fontId="0" fillId="8" borderId="0" xfId="0" applyFill="1" applyBorder="1" applyAlignment="1">
      <alignment horizontal="left"/>
    </xf>
    <xf numFmtId="1" fontId="0" fillId="13" borderId="0" xfId="0" applyNumberFormat="1" applyFont="1" applyFill="1" applyBorder="1" applyAlignment="1">
      <alignment horizontal="center" vertical="center"/>
    </xf>
    <xf numFmtId="1" fontId="0" fillId="16" borderId="0" xfId="0" applyNumberFormat="1" applyFont="1" applyFill="1" applyBorder="1" applyAlignment="1">
      <alignment horizontal="right" vertical="center" readingOrder="1"/>
    </xf>
    <xf numFmtId="0" fontId="0" fillId="6" borderId="0" xfId="0" applyFont="1" applyFill="1" applyBorder="1" applyAlignment="1">
      <alignment horizontal="right" vertical="center"/>
    </xf>
    <xf numFmtId="49" fontId="0" fillId="12" borderId="0" xfId="0" applyNumberFormat="1" applyFont="1" applyFill="1" applyBorder="1" applyAlignment="1">
      <alignment horizontal="right" vertical="center"/>
    </xf>
    <xf numFmtId="165" fontId="0" fillId="17" borderId="0" xfId="0" applyNumberFormat="1" applyFont="1" applyFill="1" applyBorder="1" applyAlignment="1">
      <alignment horizontal="center" vertical="center"/>
    </xf>
    <xf numFmtId="1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ill="1" applyBorder="1" applyAlignment="1">
      <alignment horizontal="right"/>
    </xf>
    <xf numFmtId="165" fontId="0" fillId="3" borderId="0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Border="1" applyAlignment="1">
      <alignment horizontal="center" vertical="center"/>
    </xf>
    <xf numFmtId="165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wrapText="1"/>
    </xf>
    <xf numFmtId="1" fontId="0" fillId="0" borderId="0" xfId="0" applyNumberFormat="1" applyFont="1" applyFill="1" applyBorder="1" applyAlignment="1">
      <alignment horizontal="right" vertical="center" readingOrder="1"/>
    </xf>
    <xf numFmtId="0" fontId="0" fillId="0" borderId="0" xfId="0" applyFon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right" vertical="center"/>
    </xf>
    <xf numFmtId="165" fontId="0" fillId="0" borderId="0" xfId="0" applyNumberFormat="1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>
      <alignment horizontal="center" vertical="center"/>
    </xf>
    <xf numFmtId="0" fontId="3" fillId="0" borderId="0" xfId="1" applyFill="1" applyBorder="1" applyAlignment="1">
      <alignment horizontal="left" vertical="center" wrapText="1"/>
    </xf>
    <xf numFmtId="165" fontId="0" fillId="0" borderId="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textRotation="45" readingOrder="1"/>
    </xf>
    <xf numFmtId="49" fontId="1" fillId="2" borderId="1" xfId="0" applyNumberFormat="1" applyFont="1" applyFill="1" applyBorder="1" applyAlignment="1">
      <alignment textRotation="45" readingOrder="1"/>
    </xf>
    <xf numFmtId="1" fontId="1" fillId="2" borderId="1" xfId="0" applyNumberFormat="1" applyFont="1" applyFill="1" applyBorder="1" applyAlignment="1">
      <alignment textRotation="45" readingOrder="1"/>
    </xf>
    <xf numFmtId="0" fontId="0" fillId="8" borderId="0" xfId="0" applyNumberFormat="1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 readingOrder="1"/>
    </xf>
    <xf numFmtId="44" fontId="0" fillId="8" borderId="0" xfId="0" applyNumberFormat="1" applyFont="1" applyFill="1" applyBorder="1" applyAlignment="1">
      <alignment horizontal="left" vertical="center"/>
    </xf>
    <xf numFmtId="0" fontId="3" fillId="8" borderId="0" xfId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readingOrder="1"/>
    </xf>
    <xf numFmtId="44" fontId="0" fillId="0" borderId="0" xfId="0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left"/>
    </xf>
    <xf numFmtId="1" fontId="0" fillId="8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center"/>
    </xf>
    <xf numFmtId="0" fontId="0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 readingOrder="1"/>
    </xf>
    <xf numFmtId="44" fontId="0" fillId="3" borderId="0" xfId="0" applyNumberFormat="1" applyFont="1" applyFill="1" applyBorder="1" applyAlignment="1">
      <alignment horizontal="left" vertical="center"/>
    </xf>
    <xf numFmtId="0" fontId="0" fillId="20" borderId="0" xfId="0" applyFont="1" applyFill="1" applyBorder="1" applyAlignment="1">
      <alignment horizontal="left" vertical="center"/>
    </xf>
    <xf numFmtId="49" fontId="0" fillId="8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left" vertical="center" wrapText="1"/>
    </xf>
    <xf numFmtId="49" fontId="0" fillId="3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left" vertical="center" wrapText="1"/>
    </xf>
    <xf numFmtId="44" fontId="0" fillId="13" borderId="0" xfId="0" applyNumberFormat="1" applyFont="1" applyFill="1" applyBorder="1" applyAlignment="1">
      <alignment horizontal="center" vertical="center"/>
    </xf>
    <xf numFmtId="0" fontId="12" fillId="27" borderId="0" xfId="0" applyFont="1" applyFill="1" applyBorder="1" applyAlignment="1">
      <alignment horizontal="left" vertical="center"/>
    </xf>
    <xf numFmtId="0" fontId="12" fillId="27" borderId="0" xfId="0" applyFont="1" applyFill="1" applyBorder="1" applyAlignment="1">
      <alignment horizontal="left" vertical="center" wrapText="1"/>
    </xf>
    <xf numFmtId="0" fontId="0" fillId="27" borderId="0" xfId="0" applyFill="1"/>
    <xf numFmtId="0" fontId="0" fillId="27" borderId="0" xfId="0" applyFont="1" applyFill="1" applyBorder="1" applyAlignment="1">
      <alignment horizontal="left" vertical="center"/>
    </xf>
    <xf numFmtId="0" fontId="2" fillId="27" borderId="0" xfId="0" applyFont="1" applyFill="1" applyBorder="1" applyAlignment="1">
      <alignment horizontal="left" vertical="center" wrapText="1"/>
    </xf>
    <xf numFmtId="0" fontId="0" fillId="22" borderId="0" xfId="0" applyFont="1" applyFill="1" applyBorder="1" applyAlignment="1">
      <alignment vertical="center"/>
    </xf>
    <xf numFmtId="44" fontId="0" fillId="24" borderId="0" xfId="0" applyNumberFormat="1" applyFill="1"/>
    <xf numFmtId="44" fontId="0" fillId="0" borderId="0" xfId="31" applyNumberFormat="1" applyFont="1"/>
    <xf numFmtId="44" fontId="0" fillId="3" borderId="0" xfId="0" applyNumberFormat="1" applyFill="1"/>
    <xf numFmtId="44" fontId="0" fillId="3" borderId="0" xfId="31" applyNumberFormat="1" applyFont="1" applyFill="1"/>
    <xf numFmtId="44" fontId="0" fillId="24" borderId="0" xfId="31" applyNumberFormat="1" applyFont="1" applyFill="1"/>
    <xf numFmtId="44" fontId="0" fillId="9" borderId="0" xfId="0" applyNumberFormat="1" applyFill="1"/>
    <xf numFmtId="44" fontId="0" fillId="0" borderId="0" xfId="0" applyNumberFormat="1" applyFill="1"/>
    <xf numFmtId="0" fontId="17" fillId="0" borderId="0" xfId="0" applyFon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22" fontId="11" fillId="0" borderId="0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</cellXfs>
  <cellStyles count="32">
    <cellStyle name="Comma" xfId="10" builtinId="3"/>
    <cellStyle name="Currency" xfId="31" builtinId="4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ptersquad.com/en/carboncore-multicopter-h950-carboncore-hexacopter.html" TargetMode="External"/><Relationship Id="rId13" Type="http://schemas.openxmlformats.org/officeDocument/2006/relationships/hyperlink" Target="http://hobby-wing.com/hobby-wing-arris-4-6-rotor-multicopter-frame.html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3" Type="http://schemas.openxmlformats.org/officeDocument/2006/relationships/hyperlink" Target="http://www.dji.com/product/spreading-wings-s800-evo" TargetMode="External"/><Relationship Id="rId21" Type="http://schemas.openxmlformats.org/officeDocument/2006/relationships/hyperlink" Target="http://shop.carboncore.co.uk/" TargetMode="External"/><Relationship Id="rId7" Type="http://schemas.openxmlformats.org/officeDocument/2006/relationships/hyperlink" Target="http://aeronavics.com/products/shop/xm-airframe-kits/airframe-xm-6-ti-qr/" TargetMode="External"/><Relationship Id="rId12" Type="http://schemas.openxmlformats.org/officeDocument/2006/relationships/hyperlink" Target="http://hobby-wing.com/arris-m1050-foldable-quadcopter-frame.html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2" Type="http://schemas.openxmlformats.org/officeDocument/2006/relationships/hyperlink" Target="http://aeronavics.com/products/shop/skyjib-airframe-kits/airframe-skyjib-8-ti-qr/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1" Type="http://schemas.openxmlformats.org/officeDocument/2006/relationships/hyperlink" Target="http://www.dji.com/product/spreading-wings-s1000" TargetMode="External"/><Relationship Id="rId6" Type="http://schemas.openxmlformats.org/officeDocument/2006/relationships/hyperlink" Target="http://aeronavics.com/products/shop/xm-airframe-kits/airframe-xm-8-ti-qr/" TargetMode="External"/><Relationship Id="rId11" Type="http://schemas.openxmlformats.org/officeDocument/2006/relationships/hyperlink" Target="http://www.rc-drones.com/carboncore-X8-650-Quadcopter.php" TargetMode="External"/><Relationship Id="rId5" Type="http://schemas.openxmlformats.org/officeDocument/2006/relationships/hyperlink" Target="http://aeronavics.com/products/shop/skyjib-airframe-kits/airframe-skyjib-super-6-ti-qr/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0" Type="http://schemas.openxmlformats.org/officeDocument/2006/relationships/hyperlink" Target="http://www.rc-drones.com/carboncore-X8-950-Quadcopter.php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4" Type="http://schemas.openxmlformats.org/officeDocument/2006/relationships/hyperlink" Target="http://aeronavics.com/products/shop/skyjib-airframe-kits/airframe-skyjib-x4-ti-qr/" TargetMode="External"/><Relationship Id="rId9" Type="http://schemas.openxmlformats.org/officeDocument/2006/relationships/hyperlink" Target="http://www.coptersquad.com/en/carboncore-h650-hexacopter-frame.html" TargetMode="External"/><Relationship Id="rId14" Type="http://schemas.openxmlformats.org/officeDocument/2006/relationships/hyperlink" Target="http://hobby-wing.com/arris-m680-foldable-quadcopter-frame.html" TargetMode="External"/><Relationship Id="rId22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2" Type="http://schemas.openxmlformats.org/officeDocument/2006/relationships/hyperlink" Target="https://store.3drobotics.com/products/apm-2-6-kit-1" TargetMode="External"/><Relationship Id="rId1" Type="http://schemas.openxmlformats.org/officeDocument/2006/relationships/hyperlink" Target="https://store.3drobotics.com/products/3dr-pixhawk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://www.coptersquad.com/en/feiyu-tech-fydosautopilot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utaba-rc.com/systems/futk8010.html" TargetMode="External"/><Relationship Id="rId2" Type="http://schemas.openxmlformats.org/officeDocument/2006/relationships/hyperlink" Target="http://www.spektrumrc.com/Products/Default.aspx?ProdId=SPM6700" TargetMode="External"/><Relationship Id="rId1" Type="http://schemas.openxmlformats.org/officeDocument/2006/relationships/hyperlink" Target="http://www.futaba-rc.com/systems/futk9410-14sg/index.html" TargetMode="Externa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ektrumrc.com/Products/Default.aspx?ProdID=SPMAR610" TargetMode="External"/><Relationship Id="rId3" Type="http://schemas.openxmlformats.org/officeDocument/2006/relationships/hyperlink" Target="http://www.gpdealera.com/cgi-bin/wgainf100p.pgm?I=FUTL7668" TargetMode="External"/><Relationship Id="rId7" Type="http://schemas.openxmlformats.org/officeDocument/2006/relationships/hyperlink" Target="http://www.spektrumrc.com/Products/Default.aspx?ProdID=SPMAR7610" TargetMode="External"/><Relationship Id="rId2" Type="http://schemas.openxmlformats.org/officeDocument/2006/relationships/hyperlink" Target="http://www.gpdealera.com/cgi-bin/wgainf100p.pgm?I=FUTL7645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6" Type="http://schemas.openxmlformats.org/officeDocument/2006/relationships/hyperlink" Target="http://www.spektrumrc.com/Products/Default.aspx?ProdID=SPMAR8000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4" Type="http://schemas.openxmlformats.org/officeDocument/2006/relationships/hyperlink" Target="http://www.gpdealera.com/cgi-bin/wgainf100p.pgm?I=FUTL7627" TargetMode="External"/><Relationship Id="rId9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gopro.com/cameras/hd-hero3-black-edition" TargetMode="External"/><Relationship Id="rId2" Type="http://schemas.openxmlformats.org/officeDocument/2006/relationships/hyperlink" Target="http://www.nikonusa.com/en/Nikon-Products/Product/Digital-SLR-Cameras/D800.html" TargetMode="External"/><Relationship Id="rId1" Type="http://schemas.openxmlformats.org/officeDocument/2006/relationships/hyperlink" Target="http://www.usa.canon.com/cusa/professional/products/professional_cameras/digital_slr_cameras/eos_5d_mark_iii" TargetMode="External"/><Relationship Id="rId4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-wing.com/tarot-gopro-brushless-gimbal-tl68a00.html" TargetMode="External"/><Relationship Id="rId3" Type="http://schemas.openxmlformats.org/officeDocument/2006/relationships/hyperlink" Target="http://www.dji.com/product/zenmuse-z15-5d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2" Type="http://schemas.openxmlformats.org/officeDocument/2006/relationships/hyperlink" Target="http://www.dji.com/product/zenmuse-h3-3d" TargetMode="External"/><Relationship Id="rId1" Type="http://schemas.openxmlformats.org/officeDocument/2006/relationships/hyperlink" Target="http://www.dji.com/product/zenmuse-h3-2d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5" Type="http://schemas.openxmlformats.org/officeDocument/2006/relationships/hyperlink" Target="http://www.hobby-wing.com/arris-cm3000-gopro-hero3-brushless-motor-gimbal.html" TargetMode="External"/><Relationship Id="rId4" Type="http://schemas.openxmlformats.org/officeDocument/2006/relationships/hyperlink" Target="http://www.hobby-wing.com/arris-cm2000-gopro3-brushless-gimbal.html" TargetMode="External"/><Relationship Id="rId9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Navigator_0910/39.html" TargetMode="External"/><Relationship Id="rId13" Type="http://schemas.openxmlformats.org/officeDocument/2006/relationships/hyperlink" Target="http://www.rctigermotor.com/html/2013/Navigator_0910/37.html" TargetMode="External"/><Relationship Id="rId18" Type="http://schemas.openxmlformats.org/officeDocument/2006/relationships/hyperlink" Target="http://www.rctigermotor.com/html/2013/Power-Type_0928/92.html" TargetMode="External"/><Relationship Id="rId26" Type="http://schemas.openxmlformats.org/officeDocument/2006/relationships/hyperlink" Target="http://www.scorpionsystem.com/catalog/motors/hkiii-40/hkiii-4035/HKIII_4035_560/" TargetMode="External"/><Relationship Id="rId3" Type="http://schemas.openxmlformats.org/officeDocument/2006/relationships/hyperlink" Target="http://www.rctigermotor.com/html/2013/Navigator_1019/100.html" TargetMode="External"/><Relationship Id="rId21" Type="http://schemas.openxmlformats.org/officeDocument/2006/relationships/hyperlink" Target="http://www.rctigermotor.com/html/2013/Navigator_1019/99.html" TargetMode="External"/><Relationship Id="rId34" Type="http://schemas.openxmlformats.org/officeDocument/2006/relationships/hyperlink" Target="http://www.scorpionsystem.com/catalog/motors/sii-40_series/SII-4035-250/" TargetMode="External"/><Relationship Id="rId7" Type="http://schemas.openxmlformats.org/officeDocument/2006/relationships/hyperlink" Target="http://www.rctigermotor.com/html/2013/Navigator_0910/39.html" TargetMode="External"/><Relationship Id="rId12" Type="http://schemas.openxmlformats.org/officeDocument/2006/relationships/hyperlink" Target="http://www.rctigermotor.com/html/2013/Navigator_0910/37.html" TargetMode="External"/><Relationship Id="rId17" Type="http://schemas.openxmlformats.org/officeDocument/2006/relationships/hyperlink" Target="http://www.rctigermotor.com/html/2013/Power-Type_0928/91.html" TargetMode="External"/><Relationship Id="rId25" Type="http://schemas.openxmlformats.org/officeDocument/2006/relationships/hyperlink" Target="http://www.scorpionsystem.com/catalog/motors/hkiii-40/hkiii-4035/HKIII_4035_530/" TargetMode="External"/><Relationship Id="rId33" Type="http://schemas.openxmlformats.org/officeDocument/2006/relationships/hyperlink" Target="http://www.scorpionsystem.com/catalog/motors/sii-40_series/SII-4025-520/" TargetMode="External"/><Relationship Id="rId38" Type="http://schemas.openxmlformats.org/officeDocument/2006/relationships/printerSettings" Target="../printerSettings/printerSettings10.bin"/><Relationship Id="rId2" Type="http://schemas.openxmlformats.org/officeDocument/2006/relationships/hyperlink" Target="http://www.rctigermotor.com/html/2013/Navigator_1019/100.html" TargetMode="External"/><Relationship Id="rId16" Type="http://schemas.openxmlformats.org/officeDocument/2006/relationships/hyperlink" Target="http://www.rctigermotor.com/html/2013/Antigravity_Motors_0916/78.html" TargetMode="External"/><Relationship Id="rId20" Type="http://schemas.openxmlformats.org/officeDocument/2006/relationships/hyperlink" Target="http://www.rctigermotor.com/html/2013/Navigator_1019/98.html" TargetMode="External"/><Relationship Id="rId29" Type="http://schemas.openxmlformats.org/officeDocument/2006/relationships/hyperlink" Target="http://www.scorpionsystem.com/catalog/motors/sii-40_series/SII_4020-540/" TargetMode="External"/><Relationship Id="rId1" Type="http://schemas.openxmlformats.org/officeDocument/2006/relationships/hyperlink" Target="http://www.scorpionsystem.com/catalog/motors/m40/M_4010_360/" TargetMode="External"/><Relationship Id="rId6" Type="http://schemas.openxmlformats.org/officeDocument/2006/relationships/hyperlink" Target="http://www.rctigermotor.com/html/2013/Navigator_0910/39.html" TargetMode="External"/><Relationship Id="rId11" Type="http://schemas.openxmlformats.org/officeDocument/2006/relationships/hyperlink" Target="http://www.rctigermotor.com/html/2013/Navigator_0910/38.html" TargetMode="External"/><Relationship Id="rId24" Type="http://schemas.openxmlformats.org/officeDocument/2006/relationships/hyperlink" Target="http://www.scorpionsystem.com/catalog/motors/hkiii-40/hkiii-4035/HKIII_4035_500/" TargetMode="External"/><Relationship Id="rId32" Type="http://schemas.openxmlformats.org/officeDocument/2006/relationships/hyperlink" Target="http://www.scorpionsystem.com/catalog/motors/sii-40_series/SII-4025-440/" TargetMode="External"/><Relationship Id="rId37" Type="http://schemas.openxmlformats.org/officeDocument/2006/relationships/hyperlink" Target="http://www.diyquadcopters.com/Tiger-Motor-U3-Power-Series-700K-Motor_p_149.html" TargetMode="External"/><Relationship Id="rId5" Type="http://schemas.openxmlformats.org/officeDocument/2006/relationships/hyperlink" Target="http://www.rctigermotor.com/html/2013/Navigator_0910/40.html" TargetMode="External"/><Relationship Id="rId15" Type="http://schemas.openxmlformats.org/officeDocument/2006/relationships/hyperlink" Target="http://www.rctigermotor.com/html/2013/Professional_0914/54.html" TargetMode="External"/><Relationship Id="rId23" Type="http://schemas.openxmlformats.org/officeDocument/2006/relationships/hyperlink" Target="http://www.scorpionsystem.com/catalog/motors/hkiii-40/hkiii-4035/HKIII_4035_450/" TargetMode="External"/><Relationship Id="rId28" Type="http://schemas.openxmlformats.org/officeDocument/2006/relationships/hyperlink" Target="http://www.scorpionsystem.com/catalog/motors/sii-40_series/SII_4020-420/" TargetMode="External"/><Relationship Id="rId36" Type="http://schemas.openxmlformats.org/officeDocument/2006/relationships/hyperlink" Target="http://www.scorpionsystem.com/catalog/motors/sii-40_series/SII-4035-380/" TargetMode="External"/><Relationship Id="rId10" Type="http://schemas.openxmlformats.org/officeDocument/2006/relationships/hyperlink" Target="http://www.rctigermotor.com/html/2013/Navigator_0910/38.html" TargetMode="External"/><Relationship Id="rId19" Type="http://schemas.openxmlformats.org/officeDocument/2006/relationships/hyperlink" Target="http://www.rctigermotor.com/html/2013/Power-Type_0928/92.html" TargetMode="External"/><Relationship Id="rId31" Type="http://schemas.openxmlformats.org/officeDocument/2006/relationships/hyperlink" Target="http://www.scorpionsystem.com/catalog/motors/sii-40_series/SII-4025-330/" TargetMode="External"/><Relationship Id="rId4" Type="http://schemas.openxmlformats.org/officeDocument/2006/relationships/hyperlink" Target="http://www.rctigermotor.com/html/2013/Navigator_0910/40.html" TargetMode="External"/><Relationship Id="rId9" Type="http://schemas.openxmlformats.org/officeDocument/2006/relationships/hyperlink" Target="http://www.rctigermotor.com/html/2013/Navigator_0910/38.html" TargetMode="External"/><Relationship Id="rId14" Type="http://schemas.openxmlformats.org/officeDocument/2006/relationships/hyperlink" Target="http://www.rctigermotor.com/html/2013/Navigator_0910/37.html" TargetMode="External"/><Relationship Id="rId22" Type="http://schemas.openxmlformats.org/officeDocument/2006/relationships/hyperlink" Target="http://www.scorpionsystem.com/catalog/motors/hkiii-40/hkiii-4035/HKIII_4035_330/" TargetMode="External"/><Relationship Id="rId27" Type="http://schemas.openxmlformats.org/officeDocument/2006/relationships/hyperlink" Target="http://www.scorpionsystem.com/catalog/motors/m40/M_4015_340/" TargetMode="External"/><Relationship Id="rId30" Type="http://schemas.openxmlformats.org/officeDocument/2006/relationships/hyperlink" Target="http://www.scorpionsystem.com/catalog/motors/sii-40_series/SII_4020-630/" TargetMode="External"/><Relationship Id="rId35" Type="http://schemas.openxmlformats.org/officeDocument/2006/relationships/hyperlink" Target="http://www.scorpionsystem.com/catalog/motors/sii-40_series/SII-4035-330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esc_0916/84.html" TargetMode="External"/><Relationship Id="rId3" Type="http://schemas.openxmlformats.org/officeDocument/2006/relationships/hyperlink" Target="http://www.hobbyking.com/hobbyking/store/uh_viewitem.asp?idproduct=2165&amp;aff=586251" TargetMode="External"/><Relationship Id="rId7" Type="http://schemas.openxmlformats.org/officeDocument/2006/relationships/hyperlink" Target="http://www.hobby-wing.com/hobbywing-pentium-40a-brusless-esc.html" TargetMode="External"/><Relationship Id="rId2" Type="http://schemas.openxmlformats.org/officeDocument/2006/relationships/hyperlink" Target="http://www.hobbyking.com/hobbyking/store/uh_viewitem.asp?idproduct=2166&amp;aff=586251" TargetMode="External"/><Relationship Id="rId1" Type="http://schemas.openxmlformats.org/officeDocument/2006/relationships/hyperlink" Target="http://www.hobbyking.com/hobbyking/store/uh_viewitem.asp?idproduct=2163&amp;aff=586251" TargetMode="External"/><Relationship Id="rId6" Type="http://schemas.openxmlformats.org/officeDocument/2006/relationships/hyperlink" Target="http://www.hobby-wing.com/hobbywing-pentium-30a-brusless-esc.html" TargetMode="External"/><Relationship Id="rId11" Type="http://schemas.openxmlformats.org/officeDocument/2006/relationships/printerSettings" Target="../printerSettings/printerSettings11.bin"/><Relationship Id="rId5" Type="http://schemas.openxmlformats.org/officeDocument/2006/relationships/hyperlink" Target="http://www.hobbyking.com/hobbyking/store/__10943__Turnigy_Super_Brain_80A_Brushless_ESC.html" TargetMode="External"/><Relationship Id="rId10" Type="http://schemas.openxmlformats.org/officeDocument/2006/relationships/hyperlink" Target="http://www.diyquadcopters.com/T-Motor-S35a-ESC-with-simonK-factory-firmware_p_155.html" TargetMode="External"/><Relationship Id="rId4" Type="http://schemas.openxmlformats.org/officeDocument/2006/relationships/hyperlink" Target="http://www.hobbyking.com/hobbyking/store/uh_viewitem.asp?idproduct=2164&amp;aff=586251" TargetMode="External"/><Relationship Id="rId9" Type="http://schemas.openxmlformats.org/officeDocument/2006/relationships/hyperlink" Target="http://www.rctigermotor.com/html/2013/esc_0916/87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.bin"/><Relationship Id="rId3" Type="http://schemas.openxmlformats.org/officeDocument/2006/relationships/hyperlink" Target="http://www.hobbyking.com/hobbyking/store/__19154__Turnigy_nano_tech_5000mah_4S_65_130C_Lipo_Pack.html" TargetMode="External"/><Relationship Id="rId7" Type="http://schemas.openxmlformats.org/officeDocument/2006/relationships/hyperlink" Target="http://xaircraftamerica.com/collections/lipo-batteries/products/5800mah-4s-xt60-x650-pro-battery" TargetMode="External"/><Relationship Id="rId2" Type="http://schemas.openxmlformats.org/officeDocument/2006/relationships/hyperlink" Target="http://www.hobbyking.com/hobbyking/store/__19155__Turnigy_nano_tech_5000mah_5S_65_130C_Lipo_Pack.html" TargetMode="External"/><Relationship Id="rId1" Type="http://schemas.openxmlformats.org/officeDocument/2006/relationships/hyperlink" Target="http://rc-drones.com/hyp-g3-vx5400-4s.php" TargetMode="External"/><Relationship Id="rId6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-wing.com/t-motor-1555-cf-propeller.html" TargetMode="External"/><Relationship Id="rId13" Type="http://schemas.openxmlformats.org/officeDocument/2006/relationships/hyperlink" Target="http://www.rc-drones.com/Maytech-MTCP1455T-T-Motor-Standard-and-Reverse-14-x-55-Propellers_p_448.html" TargetMode="External"/><Relationship Id="rId18" Type="http://schemas.openxmlformats.org/officeDocument/2006/relationships/hyperlink" Target="http://www.hobby-wing.com/tl2815.html" TargetMode="External"/><Relationship Id="rId26" Type="http://schemas.openxmlformats.org/officeDocument/2006/relationships/hyperlink" Target="http://www.diyquadcopters.com/Gemfan-T-Style-11x55-1cw-1ccw_p_160.html" TargetMode="External"/><Relationship Id="rId3" Type="http://schemas.openxmlformats.org/officeDocument/2006/relationships/hyperlink" Target="http://www.hobby-wing.com/dji-1552-folding-propeller.html" TargetMode="External"/><Relationship Id="rId21" Type="http://schemas.openxmlformats.org/officeDocument/2006/relationships/hyperlink" Target="http://www.rc-drones.com/GemFan-Scoop-Style-15-x-75-Propellers-_p_85.html" TargetMode="External"/><Relationship Id="rId34" Type="http://schemas.openxmlformats.org/officeDocument/2006/relationships/printerSettings" Target="../printerSettings/printerSettings13.bin"/><Relationship Id="rId7" Type="http://schemas.openxmlformats.org/officeDocument/2006/relationships/hyperlink" Target="http://www.hobby-wing.com/sigma-1238-carbon-fiber-propeller.html" TargetMode="External"/><Relationship Id="rId12" Type="http://schemas.openxmlformats.org/officeDocument/2006/relationships/hyperlink" Target="http://www.rc-drones.com/Maytech-MTCP1355T-T-Motor-Standard-and-Reverse-13-x-55-Propellers_p_447.html" TargetMode="External"/><Relationship Id="rId17" Type="http://schemas.openxmlformats.org/officeDocument/2006/relationships/hyperlink" Target="http://www.hobby-wing.com/tarot-1655-propeller-tl2835.html" TargetMode="External"/><Relationship Id="rId25" Type="http://schemas.openxmlformats.org/officeDocument/2006/relationships/hyperlink" Target="http://www.rc-drones.com/-Gemfan-Hobby-Carbon-Fiber-Props-3k-High-Gloss-14x7-_p_81.html" TargetMode="External"/><Relationship Id="rId33" Type="http://schemas.openxmlformats.org/officeDocument/2006/relationships/hyperlink" Target="http://www.hobby-wing.com/1552-folding-cf-propeller.html" TargetMode="External"/><Relationship Id="rId2" Type="http://schemas.openxmlformats.org/officeDocument/2006/relationships/hyperlink" Target="http://www.hobby-wing.com/sigma-1340-carbon-fiber-prop.html" TargetMode="External"/><Relationship Id="rId16" Type="http://schemas.openxmlformats.org/officeDocument/2006/relationships/hyperlink" Target="http://www.hobby-wing.com/tarot-1555-propeller-tl2812.html" TargetMode="External"/><Relationship Id="rId20" Type="http://schemas.openxmlformats.org/officeDocument/2006/relationships/hyperlink" Target="http://www.rc-drones.com/GemFan-Paddle-Style-15-x-55-Propellers_p_84.html" TargetMode="External"/><Relationship Id="rId29" Type="http://schemas.openxmlformats.org/officeDocument/2006/relationships/hyperlink" Target="http://www.diyquadcopters.com/Gemfan-T-Style-14x55-1cw-1ccw_p_163.html" TargetMode="External"/><Relationship Id="rId1" Type="http://schemas.openxmlformats.org/officeDocument/2006/relationships/hyperlink" Target="http://www.rc-drones.com/RcTiger15CF-props.php" TargetMode="External"/><Relationship Id="rId6" Type="http://schemas.openxmlformats.org/officeDocument/2006/relationships/hyperlink" Target="http://www.hobby-wing.com/p1540c-carbon-fiber-propeller.html" TargetMode="External"/><Relationship Id="rId11" Type="http://schemas.openxmlformats.org/officeDocument/2006/relationships/hyperlink" Target="http://www.rc-drones.com/Maytech-MTCP1255T-T-Motor-Standard-and-Reverse-12-x-55-Propellers_p_446.html" TargetMode="External"/><Relationship Id="rId24" Type="http://schemas.openxmlformats.org/officeDocument/2006/relationships/hyperlink" Target="http://www.rc-drones.com/Gemfan-Carbon-Fiber-Folding-prop-CCW-for-DJI-S800-Evo-Pair-_p_513.html" TargetMode="External"/><Relationship Id="rId32" Type="http://schemas.openxmlformats.org/officeDocument/2006/relationships/hyperlink" Target="http://www.rc-drones.com/APC-Propeller-14-x-55-Right-Rotation_p_92.html" TargetMode="External"/><Relationship Id="rId5" Type="http://schemas.openxmlformats.org/officeDocument/2006/relationships/hyperlink" Target="http://www.hobby-wing.com/1550-carbon-fiber-propeller.html" TargetMode="External"/><Relationship Id="rId15" Type="http://schemas.openxmlformats.org/officeDocument/2006/relationships/hyperlink" Target="http://www.hobby-wing.com/tarot-1355-propeller-tl2829.html" TargetMode="External"/><Relationship Id="rId23" Type="http://schemas.openxmlformats.org/officeDocument/2006/relationships/hyperlink" Target="http://www.rc-drones.com/-Graupner-E-prop-11-x-5-Left-Rotation_p_461.html" TargetMode="External"/><Relationship Id="rId28" Type="http://schemas.openxmlformats.org/officeDocument/2006/relationships/hyperlink" Target="http://www.diyquadcopters.com/Gemfan-T-Style-15x55-1cw-1ccw_p_164.html" TargetMode="External"/><Relationship Id="rId10" Type="http://schemas.openxmlformats.org/officeDocument/2006/relationships/hyperlink" Target="http://www.rc-drones.com/Maytech-MTCP1155T-T-Motor-Standard-and-Reverse-11-x-55-Propellers_p_445.html" TargetMode="External"/><Relationship Id="rId19" Type="http://schemas.openxmlformats.org/officeDocument/2006/relationships/hyperlink" Target="http://www.rc-drones.com/Gemfan-15x55-Carbon-Fiber-T-Motor-Style-Fits-S800-Pair_p_511.html" TargetMode="External"/><Relationship Id="rId31" Type="http://schemas.openxmlformats.org/officeDocument/2006/relationships/hyperlink" Target="http://www.diyquadcopters.com/Gemfan-T-Style-12x55-1cw-1ccw_p_161.html" TargetMode="External"/><Relationship Id="rId4" Type="http://schemas.openxmlformats.org/officeDocument/2006/relationships/hyperlink" Target="http://www.hobby-wing.com/1755-carbon-fiber-propeller.html" TargetMode="External"/><Relationship Id="rId9" Type="http://schemas.openxmlformats.org/officeDocument/2006/relationships/hyperlink" Target="http://www.hobby-wing.com/t-motor-1655-cf-propeller.html" TargetMode="External"/><Relationship Id="rId14" Type="http://schemas.openxmlformats.org/officeDocument/2006/relationships/hyperlink" Target="http://www.hobby-wing.com/tarot--tl2828-1255-propeller.html" TargetMode="External"/><Relationship Id="rId22" Type="http://schemas.openxmlformats.org/officeDocument/2006/relationships/hyperlink" Target="http://www.rc-drones.com/Graupner-E-prop-14-x-8-Right-Rotation_p_82.html" TargetMode="External"/><Relationship Id="rId27" Type="http://schemas.openxmlformats.org/officeDocument/2006/relationships/hyperlink" Target="http://www.rc-drones.com/gemfamFoldingCW-S800props.php" TargetMode="External"/><Relationship Id="rId30" Type="http://schemas.openxmlformats.org/officeDocument/2006/relationships/hyperlink" Target="http://www.diyquadcopters.com/Gemfan-T-Style-13x55-1cw-1ccw_p_162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5" Type="http://schemas.openxmlformats.org/officeDocument/2006/relationships/printerSettings" Target="../printerSettings/printerSettings14.bin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view="pageLayout" zoomScale="75" zoomScaleNormal="75" zoomScalePageLayoutView="75" workbookViewId="0">
      <selection activeCell="E9" sqref="E9"/>
    </sheetView>
  </sheetViews>
  <sheetFormatPr defaultColWidth="8.875" defaultRowHeight="12.75" x14ac:dyDescent="0.2"/>
  <cols>
    <col min="1" max="1" width="8.5" style="154" customWidth="1"/>
    <col min="2" max="2" width="9.125" style="154" bestFit="1" customWidth="1"/>
    <col min="3" max="3" width="13.5" style="154" customWidth="1"/>
    <col min="4" max="4" width="11" style="154" bestFit="1" customWidth="1"/>
    <col min="5" max="5" width="12.875" style="154" bestFit="1" customWidth="1"/>
    <col min="6" max="6" width="11.625" style="158" customWidth="1"/>
    <col min="7" max="7" width="11.5" style="154" bestFit="1" customWidth="1"/>
    <col min="8" max="8" width="13.375" style="154" bestFit="1" customWidth="1"/>
    <col min="9" max="9" width="12.125" style="154" customWidth="1"/>
    <col min="10" max="10" width="13.5" style="154" bestFit="1" customWidth="1"/>
    <col min="11" max="11" width="26.125" style="154" bestFit="1" customWidth="1"/>
    <col min="12" max="12" width="11.375" style="154" bestFit="1" customWidth="1"/>
    <col min="13" max="16384" width="8.875" style="154"/>
  </cols>
  <sheetData>
    <row r="1" spans="1:11" x14ac:dyDescent="0.2">
      <c r="A1" s="367" t="s">
        <v>619</v>
      </c>
      <c r="B1" s="368"/>
      <c r="C1" s="368"/>
      <c r="D1" s="368"/>
      <c r="E1" s="369"/>
      <c r="F1" s="368"/>
      <c r="G1" s="368"/>
      <c r="H1" s="370"/>
      <c r="I1" s="365"/>
      <c r="J1" s="365"/>
      <c r="K1" s="366">
        <f ca="1">NOW()</f>
        <v>41834.848649652777</v>
      </c>
    </row>
    <row r="2" spans="1:11" ht="15.95" customHeight="1" x14ac:dyDescent="0.2">
      <c r="A2" s="371" t="s">
        <v>44</v>
      </c>
      <c r="B2" s="371" t="s">
        <v>45</v>
      </c>
      <c r="C2" s="371" t="s">
        <v>507</v>
      </c>
      <c r="D2" s="371" t="s">
        <v>432</v>
      </c>
      <c r="E2" s="371" t="s">
        <v>431</v>
      </c>
      <c r="F2" s="372" t="s">
        <v>46</v>
      </c>
      <c r="G2" s="372" t="s">
        <v>47</v>
      </c>
      <c r="H2" s="372" t="s">
        <v>48</v>
      </c>
      <c r="I2" s="373" t="s">
        <v>49</v>
      </c>
      <c r="J2" s="373" t="s">
        <v>50</v>
      </c>
      <c r="K2" s="374" t="s">
        <v>544</v>
      </c>
    </row>
    <row r="3" spans="1:11" ht="15.95" customHeight="1" x14ac:dyDescent="0.2">
      <c r="A3" s="401">
        <v>1</v>
      </c>
      <c r="B3" s="350" t="s">
        <v>54</v>
      </c>
      <c r="C3" s="375" t="s">
        <v>113</v>
      </c>
      <c r="D3" s="351" t="str">
        <f>INDEX(Frame_Brand,MATCH(E3,Frame_Model,0))</f>
        <v>Tarot</v>
      </c>
      <c r="E3" s="350" t="s">
        <v>231</v>
      </c>
      <c r="F3" s="354">
        <v>1</v>
      </c>
      <c r="G3" s="376">
        <f>INDEX(Frame_Mass,MATCH(E3,Frame_Model,0))</f>
        <v>1200</v>
      </c>
      <c r="H3" s="354">
        <f>G3*F3</f>
        <v>1200</v>
      </c>
      <c r="I3" s="377">
        <f>INDEX(Frame_Price,MATCH(E3,Frame_Model,0))</f>
        <v>444</v>
      </c>
      <c r="J3" s="359">
        <f>I3*F3</f>
        <v>444</v>
      </c>
      <c r="K3" s="359" t="str">
        <f>INDEX(Frame_Link,MATCH(E3,Frame_Model,0))</f>
        <v>www.myrcmodel.com</v>
      </c>
    </row>
    <row r="4" spans="1:11" ht="15.95" customHeight="1" x14ac:dyDescent="0.2">
      <c r="A4" s="401">
        <v>2</v>
      </c>
      <c r="B4" s="350" t="s">
        <v>52</v>
      </c>
      <c r="C4" s="375" t="s">
        <v>114</v>
      </c>
      <c r="D4" s="351" t="str">
        <f>INDEX(FC_Brand,MATCH(E4,FC_Model,0))</f>
        <v>3DRobotics</v>
      </c>
      <c r="E4" s="350" t="s">
        <v>91</v>
      </c>
      <c r="F4" s="354">
        <v>1</v>
      </c>
      <c r="G4" s="378">
        <f>INDEX(FC_Mass,MATCH(E4,FC_Model,0))</f>
        <v>54.8</v>
      </c>
      <c r="H4" s="379">
        <f t="shared" ref="H4:H13" si="0">G4*F4</f>
        <v>54.8</v>
      </c>
      <c r="I4" s="380">
        <f>INDEX(FC_Price,MATCH(E4,FC_Model,0))</f>
        <v>379.98</v>
      </c>
      <c r="J4" s="359">
        <f t="shared" ref="J4:J13" si="1">I4*F4</f>
        <v>379.98</v>
      </c>
      <c r="K4" s="381" t="str">
        <f>INDEX(FC_Link,MATCH(E4,FC_Model,0))</f>
        <v>https://store.3drobotics.com</v>
      </c>
    </row>
    <row r="5" spans="1:11" ht="15.95" customHeight="1" x14ac:dyDescent="0.2">
      <c r="A5" s="401">
        <v>3</v>
      </c>
      <c r="B5" s="350" t="s">
        <v>52</v>
      </c>
      <c r="C5" s="382" t="s">
        <v>130</v>
      </c>
      <c r="D5" s="351" t="str">
        <f>INDEX(Tx_Brand,MATCH(E5,Tx_Model,0))</f>
        <v>Futaba</v>
      </c>
      <c r="E5" s="350" t="s">
        <v>509</v>
      </c>
      <c r="F5" s="354">
        <v>1</v>
      </c>
      <c r="G5" s="376">
        <v>0</v>
      </c>
      <c r="H5" s="383">
        <v>0</v>
      </c>
      <c r="I5" s="380">
        <f>INDEX(Tx_Price,MATCH(E5,Tx_Model,0))</f>
        <v>479</v>
      </c>
      <c r="J5" s="359">
        <f t="shared" si="1"/>
        <v>479</v>
      </c>
      <c r="K5" s="381" t="str">
        <f>INDEX(Tx_Link,MATCH(E5,Tx_Model,0))</f>
        <v>http://www.futaba-rc.com</v>
      </c>
    </row>
    <row r="6" spans="1:11" ht="15.95" customHeight="1" x14ac:dyDescent="0.2">
      <c r="A6" s="401">
        <v>4</v>
      </c>
      <c r="B6" s="350" t="s">
        <v>52</v>
      </c>
      <c r="C6" s="382" t="s">
        <v>53</v>
      </c>
      <c r="D6" s="351" t="str">
        <f>INDEX(RC_Brand,MATCH(E6,RC_Model2,0))</f>
        <v>Futaba</v>
      </c>
      <c r="E6" s="350" t="s">
        <v>202</v>
      </c>
      <c r="F6" s="354">
        <v>1</v>
      </c>
      <c r="G6" s="378">
        <f>INDEX(RC_Mass,MATCH(E6,RC_Model2,0))</f>
        <v>13.8</v>
      </c>
      <c r="H6" s="379">
        <f t="shared" si="0"/>
        <v>13.8</v>
      </c>
      <c r="I6" s="380">
        <f>INDEX(RC_Price,MATCH(E6,RC_Model2,0))</f>
        <v>129.99</v>
      </c>
      <c r="J6" s="359">
        <f t="shared" si="1"/>
        <v>129.99</v>
      </c>
      <c r="K6" s="381" t="str">
        <f>INDEX(RC_Link,MATCH(E6,RC_Model2,0))</f>
        <v>www.gpdealera.com</v>
      </c>
    </row>
    <row r="7" spans="1:11" ht="15.95" customHeight="1" x14ac:dyDescent="0.2">
      <c r="A7" s="401">
        <v>5</v>
      </c>
      <c r="B7" s="350" t="s">
        <v>52</v>
      </c>
      <c r="C7" s="382" t="s">
        <v>57</v>
      </c>
      <c r="D7" s="351" t="str">
        <f>INDEX(Camera_Brand,MATCH(E7,Camera_Model,0))</f>
        <v>Cannon</v>
      </c>
      <c r="E7" s="350" t="s">
        <v>547</v>
      </c>
      <c r="F7" s="354">
        <v>1</v>
      </c>
      <c r="G7" s="376">
        <f>INDEX('5. Cameras'!I3:I13,MATCH(E7,Camera_Model,0))</f>
        <v>1244</v>
      </c>
      <c r="H7" s="383">
        <f t="shared" si="0"/>
        <v>1244</v>
      </c>
      <c r="I7" s="380">
        <f>INDEX(Camera_Price,MATCH(E7,Camera_Model,0))</f>
        <v>3399</v>
      </c>
      <c r="J7" s="359">
        <f t="shared" si="1"/>
        <v>3399</v>
      </c>
      <c r="K7" s="381" t="str">
        <f>INDEX(Cam_Link,MATCH(E7,Camera_Model,0))</f>
        <v>www.usa.canon.com</v>
      </c>
    </row>
    <row r="8" spans="1:11" ht="15.95" customHeight="1" x14ac:dyDescent="0.2">
      <c r="A8" s="401">
        <v>6</v>
      </c>
      <c r="B8" s="350" t="s">
        <v>52</v>
      </c>
      <c r="C8" s="375" t="s">
        <v>56</v>
      </c>
      <c r="D8" s="351" t="str">
        <f>INDEX(Gimbal_Brand2,MATCH(E8,Gimbal_Model,0))</f>
        <v>DJI</v>
      </c>
      <c r="E8" s="350" t="s">
        <v>143</v>
      </c>
      <c r="F8" s="354">
        <v>1</v>
      </c>
      <c r="G8" s="376">
        <f>INDEX(Gimbal_Mass,MATCH(E8,Gimbal_Model,0))</f>
        <v>1420</v>
      </c>
      <c r="H8" s="383">
        <f t="shared" si="0"/>
        <v>1420</v>
      </c>
      <c r="I8" s="380">
        <f>INDEX(Gimbal_Price,MATCH(E8,Gimbal_Model,0))</f>
        <v>2999</v>
      </c>
      <c r="J8" s="359">
        <f t="shared" si="1"/>
        <v>2999</v>
      </c>
      <c r="K8" s="381" t="str">
        <f>INDEX(Gimbal_Link,MATCH(E8,Gimbal_Model,0))</f>
        <v>www.dji.com</v>
      </c>
    </row>
    <row r="9" spans="1:11" ht="15.95" customHeight="1" x14ac:dyDescent="0.2">
      <c r="A9" s="360">
        <v>7</v>
      </c>
      <c r="B9" s="350" t="s">
        <v>52</v>
      </c>
      <c r="C9" s="384" t="s">
        <v>60</v>
      </c>
      <c r="D9" s="351" t="str">
        <f>INDEX(Motor_Brand,MATCH(E9,Motor_Model,0))</f>
        <v>Tiger</v>
      </c>
      <c r="E9" s="350" t="s">
        <v>267</v>
      </c>
      <c r="F9" s="354" t="str">
        <f>INDEX(Number_of_Motors, MATCH(E3,Frame_Model,0))</f>
        <v>6</v>
      </c>
      <c r="G9" s="376">
        <f>INDEX(Motor_Mass,MATCH(E9,Motor_Model,0))</f>
        <v>156</v>
      </c>
      <c r="H9" s="354">
        <f t="shared" si="0"/>
        <v>936</v>
      </c>
      <c r="I9" s="377">
        <f>INDEX(Motor_Price,MATCH(E9,Motor_Model,0))</f>
        <v>125.9</v>
      </c>
      <c r="J9" s="359">
        <f t="shared" si="1"/>
        <v>755.40000000000009</v>
      </c>
      <c r="K9" s="381" t="str">
        <f>INDEX(Motor_Link,MATCH(E9,Motor_Model,0))</f>
        <v>www.rctigermotor.com</v>
      </c>
    </row>
    <row r="10" spans="1:11" ht="15.95" customHeight="1" x14ac:dyDescent="0.2">
      <c r="A10" s="360">
        <v>8</v>
      </c>
      <c r="B10" s="385" t="s">
        <v>52</v>
      </c>
      <c r="C10" s="386" t="s">
        <v>61</v>
      </c>
      <c r="D10" s="351" t="str">
        <f>INDEX(ESC_Brand,MATCH(E10,ESC_Model2,0))</f>
        <v>T-Motor</v>
      </c>
      <c r="E10" s="385" t="s">
        <v>585</v>
      </c>
      <c r="F10" s="387" t="str">
        <f>F9</f>
        <v>6</v>
      </c>
      <c r="G10" s="376">
        <f>INDEX(ESC_Mass,MATCH(E10,ESC_Model2,0))</f>
        <v>30</v>
      </c>
      <c r="H10" s="354">
        <f t="shared" si="0"/>
        <v>180</v>
      </c>
      <c r="I10" s="377">
        <f>INDEX(ESC_Price,MATCH(E10,ESC_Model2,0))</f>
        <v>29.99</v>
      </c>
      <c r="J10" s="359">
        <f t="shared" si="1"/>
        <v>179.94</v>
      </c>
      <c r="K10" s="381" t="str">
        <f>INDEX(ESC_Link,MATCH(E10,ESC_Model3,0))</f>
        <v>http://www.diyquadcopters.com</v>
      </c>
    </row>
    <row r="11" spans="1:11" ht="15.95" customHeight="1" x14ac:dyDescent="0.2">
      <c r="A11" s="401">
        <v>9</v>
      </c>
      <c r="B11" s="385" t="s">
        <v>52</v>
      </c>
      <c r="C11" s="386" t="s">
        <v>62</v>
      </c>
      <c r="D11" s="351" t="str">
        <f>INDEX(Bat_Brand,MATCH(E11,Bat_Model,0))</f>
        <v>Xaircraft</v>
      </c>
      <c r="E11" s="385" t="s">
        <v>618</v>
      </c>
      <c r="F11" s="387">
        <v>2</v>
      </c>
      <c r="G11" s="376">
        <f>INDEX(Bat_Mass,MATCH(E11,Bat_Model,0))</f>
        <v>585</v>
      </c>
      <c r="H11" s="354">
        <f t="shared" si="0"/>
        <v>1170</v>
      </c>
      <c r="I11" s="377">
        <f>INDEX(Bat_Price,MATCH(E11,Bat_Model,0))</f>
        <v>90</v>
      </c>
      <c r="J11" s="359">
        <f t="shared" si="1"/>
        <v>180</v>
      </c>
      <c r="K11" s="381" t="str">
        <f>INDEX(Bat_Link,MATCH(E11,Bat_Model,0))</f>
        <v>http://xaircraftamerica.com</v>
      </c>
    </row>
    <row r="12" spans="1:11" ht="15.95" customHeight="1" x14ac:dyDescent="0.2">
      <c r="A12" s="360">
        <v>10</v>
      </c>
      <c r="B12" s="385" t="s">
        <v>54</v>
      </c>
      <c r="C12" s="388" t="s">
        <v>58</v>
      </c>
      <c r="D12" s="351" t="str">
        <f>INDEX(Prop_Brand,MATCH(E12,Prop_Model,0))</f>
        <v>Gemfan</v>
      </c>
      <c r="E12" s="385" t="s">
        <v>637</v>
      </c>
      <c r="F12" s="387">
        <v>5</v>
      </c>
      <c r="G12" s="376">
        <f>INDEX(Prop_Mass,MATCH(E12,Prop_Model,0))</f>
        <v>15</v>
      </c>
      <c r="H12" s="354">
        <f>G12*$F$9</f>
        <v>90</v>
      </c>
      <c r="I12" s="377">
        <f>INDEX(Prop_Price,MATCH(E12,Prop_Model,0))</f>
        <v>20</v>
      </c>
      <c r="J12" s="359">
        <f t="shared" si="1"/>
        <v>100</v>
      </c>
      <c r="K12" s="381" t="str">
        <f>INDEX(Prop_Link,MATCH(E12,Prop_Model,0))</f>
        <v>http://www.diyquadcopters.com</v>
      </c>
    </row>
    <row r="13" spans="1:11" ht="15.95" customHeight="1" x14ac:dyDescent="0.2">
      <c r="A13" s="401">
        <v>11</v>
      </c>
      <c r="B13" s="385" t="s">
        <v>54</v>
      </c>
      <c r="C13" s="389" t="s">
        <v>55</v>
      </c>
      <c r="D13" s="351" t="str">
        <f>INDEX(Acc_Brand,MATCH(E13,Acc_Model,0))</f>
        <v>Spot</v>
      </c>
      <c r="E13" s="385" t="s">
        <v>159</v>
      </c>
      <c r="F13" s="387">
        <v>1</v>
      </c>
      <c r="G13" s="376">
        <f>INDEX(Acc_Mass,MATCH(E13,Acc_Model,0))</f>
        <v>88</v>
      </c>
      <c r="H13" s="354">
        <f t="shared" si="0"/>
        <v>88</v>
      </c>
      <c r="I13" s="377">
        <f>INDEX(Acc_Price,MATCH(E13,Acc_Model,0))</f>
        <v>199.83999999999997</v>
      </c>
      <c r="J13" s="359">
        <f t="shared" si="1"/>
        <v>199.83999999999997</v>
      </c>
      <c r="K13" s="381" t="str">
        <f>INDEX(Acc_Link,MATCH(E13,Acc_Model,0))</f>
        <v>www.findmespot.com</v>
      </c>
    </row>
    <row r="14" spans="1:11" ht="15.95" customHeight="1" x14ac:dyDescent="0.2">
      <c r="A14" s="390" t="s">
        <v>59</v>
      </c>
      <c r="B14" s="390"/>
      <c r="C14" s="390"/>
      <c r="D14" s="390"/>
      <c r="E14" s="390"/>
      <c r="F14" s="390"/>
      <c r="G14" s="390" t="s">
        <v>133</v>
      </c>
      <c r="H14" s="391">
        <f>SUM(H3:H13)</f>
        <v>6396.6</v>
      </c>
      <c r="I14" s="392" t="s">
        <v>132</v>
      </c>
      <c r="J14" s="393">
        <f>SUM(J3:J13)</f>
        <v>9246.1500000000015</v>
      </c>
      <c r="K14" s="393"/>
    </row>
    <row r="15" spans="1:11" s="155" customFormat="1" ht="18.95" customHeight="1" x14ac:dyDescent="0.25">
      <c r="A15" s="496"/>
      <c r="B15" s="496"/>
      <c r="F15" s="156"/>
      <c r="H15" s="351"/>
      <c r="I15" s="354" t="s">
        <v>430</v>
      </c>
      <c r="J15" s="359">
        <f>J14-J5-J7</f>
        <v>5368.1500000000015</v>
      </c>
      <c r="K15" s="157"/>
    </row>
    <row r="16" spans="1:11" x14ac:dyDescent="0.2">
      <c r="A16" s="155" t="s">
        <v>620</v>
      </c>
      <c r="B16" s="155"/>
      <c r="C16" s="155"/>
      <c r="D16" s="394"/>
      <c r="E16" s="382" t="s">
        <v>500</v>
      </c>
      <c r="F16" s="350" t="s">
        <v>501</v>
      </c>
      <c r="G16" s="356" t="s">
        <v>508</v>
      </c>
      <c r="H16" s="353" t="s">
        <v>546</v>
      </c>
      <c r="I16" s="357" t="s">
        <v>591</v>
      </c>
      <c r="J16" s="358" t="s">
        <v>614</v>
      </c>
      <c r="K16" s="360" t="s">
        <v>667</v>
      </c>
    </row>
    <row r="17" spans="1:11" x14ac:dyDescent="0.2">
      <c r="A17" s="371" t="s">
        <v>44</v>
      </c>
      <c r="B17" s="371" t="s">
        <v>45</v>
      </c>
      <c r="C17" s="395" t="s">
        <v>507</v>
      </c>
      <c r="D17" s="396" t="s">
        <v>484</v>
      </c>
      <c r="E17" s="350" t="s">
        <v>499</v>
      </c>
      <c r="F17" s="351" t="s">
        <v>519</v>
      </c>
      <c r="G17" s="352">
        <v>41738.542361111111</v>
      </c>
      <c r="H17" s="353" t="s">
        <v>579</v>
      </c>
      <c r="I17" s="353" t="s">
        <v>596</v>
      </c>
      <c r="J17" s="353" t="s">
        <v>617</v>
      </c>
      <c r="K17" s="361" t="s">
        <v>512</v>
      </c>
    </row>
    <row r="18" spans="1:11" x14ac:dyDescent="0.2">
      <c r="A18" s="397">
        <v>1</v>
      </c>
      <c r="B18" s="398" t="s">
        <v>51</v>
      </c>
      <c r="C18" s="399" t="s">
        <v>113</v>
      </c>
      <c r="D18" s="400">
        <v>21</v>
      </c>
      <c r="E18" s="354">
        <v>9</v>
      </c>
      <c r="F18" s="351">
        <v>3</v>
      </c>
      <c r="G18" s="353">
        <v>1</v>
      </c>
      <c r="H18" s="353">
        <v>1</v>
      </c>
      <c r="I18" s="353">
        <v>1</v>
      </c>
      <c r="J18" s="353">
        <v>1</v>
      </c>
      <c r="K18" s="360" t="s">
        <v>527</v>
      </c>
    </row>
    <row r="19" spans="1:11" x14ac:dyDescent="0.2">
      <c r="A19" s="397">
        <v>2</v>
      </c>
      <c r="B19" s="398" t="s">
        <v>52</v>
      </c>
      <c r="C19" s="399" t="s">
        <v>114</v>
      </c>
      <c r="D19" s="400">
        <v>7</v>
      </c>
      <c r="E19" s="354">
        <v>5</v>
      </c>
      <c r="F19" s="351">
        <v>3</v>
      </c>
      <c r="G19" s="353">
        <v>1</v>
      </c>
      <c r="H19" s="353">
        <v>1</v>
      </c>
      <c r="I19" s="353">
        <v>1</v>
      </c>
      <c r="J19" s="353">
        <v>1</v>
      </c>
      <c r="K19" s="362" t="s">
        <v>533</v>
      </c>
    </row>
    <row r="20" spans="1:11" x14ac:dyDescent="0.2">
      <c r="A20" s="397">
        <v>3</v>
      </c>
      <c r="B20" s="398" t="s">
        <v>52</v>
      </c>
      <c r="C20" s="399" t="s">
        <v>130</v>
      </c>
      <c r="D20" s="400">
        <v>13</v>
      </c>
      <c r="E20" s="354">
        <v>1</v>
      </c>
      <c r="F20" s="351">
        <v>1</v>
      </c>
      <c r="G20" s="353">
        <v>1</v>
      </c>
      <c r="H20" s="353">
        <v>1</v>
      </c>
      <c r="I20" s="353">
        <v>1</v>
      </c>
      <c r="J20" s="353">
        <v>1</v>
      </c>
      <c r="K20" s="360" t="s">
        <v>592</v>
      </c>
    </row>
    <row r="21" spans="1:11" x14ac:dyDescent="0.2">
      <c r="A21" s="397">
        <v>4</v>
      </c>
      <c r="B21" s="398" t="s">
        <v>52</v>
      </c>
      <c r="C21" s="399" t="s">
        <v>53</v>
      </c>
      <c r="D21" s="400">
        <v>8</v>
      </c>
      <c r="E21" s="354">
        <v>1</v>
      </c>
      <c r="F21" s="351">
        <v>1</v>
      </c>
      <c r="G21" s="353">
        <v>1</v>
      </c>
      <c r="H21" s="353">
        <v>1</v>
      </c>
      <c r="I21" s="353">
        <v>1</v>
      </c>
      <c r="J21" s="353">
        <v>1</v>
      </c>
      <c r="K21" s="363" t="s">
        <v>615</v>
      </c>
    </row>
    <row r="22" spans="1:11" x14ac:dyDescent="0.2">
      <c r="A22" s="401">
        <v>5</v>
      </c>
      <c r="B22" s="402" t="s">
        <v>55</v>
      </c>
      <c r="C22" s="403" t="s">
        <v>57</v>
      </c>
      <c r="D22" s="404">
        <v>7</v>
      </c>
      <c r="E22" s="354">
        <v>1</v>
      </c>
      <c r="F22" s="351">
        <v>1</v>
      </c>
      <c r="G22" s="353">
        <v>1</v>
      </c>
      <c r="H22" s="353">
        <v>1</v>
      </c>
      <c r="I22" s="353">
        <v>1</v>
      </c>
      <c r="J22" s="353">
        <v>1</v>
      </c>
      <c r="K22" s="364" t="s">
        <v>616</v>
      </c>
    </row>
    <row r="23" spans="1:11" x14ac:dyDescent="0.2">
      <c r="A23" s="401">
        <v>6</v>
      </c>
      <c r="B23" s="402" t="s">
        <v>55</v>
      </c>
      <c r="C23" s="403" t="s">
        <v>56</v>
      </c>
      <c r="D23" s="404">
        <v>7</v>
      </c>
      <c r="E23" s="354">
        <v>5</v>
      </c>
      <c r="F23" s="351">
        <v>3</v>
      </c>
      <c r="G23" s="353">
        <v>1</v>
      </c>
      <c r="H23" s="353">
        <v>1</v>
      </c>
      <c r="I23" s="353">
        <v>1</v>
      </c>
      <c r="J23" s="353">
        <v>1</v>
      </c>
    </row>
    <row r="24" spans="1:11" x14ac:dyDescent="0.2">
      <c r="A24" s="397">
        <v>7</v>
      </c>
      <c r="B24" s="398" t="s">
        <v>52</v>
      </c>
      <c r="C24" s="399" t="s">
        <v>60</v>
      </c>
      <c r="D24" s="400">
        <v>37</v>
      </c>
      <c r="E24" s="354">
        <v>20</v>
      </c>
      <c r="F24" s="351">
        <v>15</v>
      </c>
      <c r="G24" s="353">
        <v>11</v>
      </c>
      <c r="H24" s="353">
        <v>2</v>
      </c>
      <c r="I24" s="353">
        <v>1</v>
      </c>
      <c r="J24" s="353">
        <v>1</v>
      </c>
    </row>
    <row r="25" spans="1:11" x14ac:dyDescent="0.2">
      <c r="A25" s="397">
        <v>8</v>
      </c>
      <c r="B25" s="405" t="s">
        <v>52</v>
      </c>
      <c r="C25" s="406" t="s">
        <v>61</v>
      </c>
      <c r="D25" s="400">
        <v>23</v>
      </c>
      <c r="E25" s="354">
        <v>23</v>
      </c>
      <c r="F25" s="351">
        <v>17</v>
      </c>
      <c r="G25" s="353">
        <v>10</v>
      </c>
      <c r="H25" s="353">
        <v>3</v>
      </c>
      <c r="I25" s="353">
        <v>1</v>
      </c>
      <c r="J25" s="353">
        <v>1</v>
      </c>
    </row>
    <row r="26" spans="1:11" x14ac:dyDescent="0.2">
      <c r="A26" s="397">
        <v>9</v>
      </c>
      <c r="B26" s="405" t="s">
        <v>52</v>
      </c>
      <c r="C26" s="406" t="s">
        <v>62</v>
      </c>
      <c r="D26" s="400">
        <v>17</v>
      </c>
      <c r="E26" s="354">
        <v>17</v>
      </c>
      <c r="F26" s="351">
        <v>11</v>
      </c>
      <c r="G26" s="353">
        <v>7</v>
      </c>
      <c r="H26" s="353">
        <v>5</v>
      </c>
      <c r="I26" s="353">
        <v>1</v>
      </c>
      <c r="J26" s="353">
        <v>1</v>
      </c>
    </row>
    <row r="27" spans="1:11" x14ac:dyDescent="0.2">
      <c r="A27" s="397">
        <v>10</v>
      </c>
      <c r="B27" s="405" t="s">
        <v>54</v>
      </c>
      <c r="C27" s="406" t="s">
        <v>58</v>
      </c>
      <c r="D27" s="400">
        <v>28</v>
      </c>
      <c r="E27" s="354">
        <v>28</v>
      </c>
      <c r="F27" s="351">
        <v>20</v>
      </c>
      <c r="G27" s="353">
        <v>20</v>
      </c>
      <c r="H27" s="353">
        <v>19</v>
      </c>
      <c r="I27" s="353">
        <v>17</v>
      </c>
      <c r="J27" s="353">
        <v>1</v>
      </c>
    </row>
    <row r="28" spans="1:11" x14ac:dyDescent="0.2">
      <c r="A28" s="407">
        <v>11</v>
      </c>
      <c r="B28" s="402" t="s">
        <v>55</v>
      </c>
      <c r="C28" s="408" t="s">
        <v>158</v>
      </c>
      <c r="D28" s="404">
        <v>1</v>
      </c>
      <c r="E28" s="354">
        <v>1</v>
      </c>
      <c r="F28" s="351">
        <v>1</v>
      </c>
      <c r="G28" s="353">
        <v>1</v>
      </c>
      <c r="H28" s="353">
        <v>1</v>
      </c>
      <c r="I28" s="353">
        <v>1</v>
      </c>
      <c r="J28" s="353">
        <v>1</v>
      </c>
    </row>
    <row r="29" spans="1:11" x14ac:dyDescent="0.2">
      <c r="A29" s="390"/>
      <c r="B29" s="390"/>
      <c r="C29" s="409" t="s">
        <v>357</v>
      </c>
      <c r="D29" s="410">
        <f t="shared" ref="D29:I29" si="2">D18*D19*D20*D21*D22*D23*D24*D25*D26*D27</f>
        <v>303447292512</v>
      </c>
      <c r="E29" s="355">
        <f t="shared" si="2"/>
        <v>49266000</v>
      </c>
      <c r="F29" s="355">
        <f t="shared" si="2"/>
        <v>1514700</v>
      </c>
      <c r="G29" s="355">
        <f t="shared" si="2"/>
        <v>15400</v>
      </c>
      <c r="H29" s="355">
        <f t="shared" si="2"/>
        <v>570</v>
      </c>
      <c r="I29" s="355">
        <f t="shared" si="2"/>
        <v>17</v>
      </c>
      <c r="J29" s="355">
        <f t="shared" ref="J29" si="3">J18*J19*J20*J21*J22*J23*J24*J25*J26*J27</f>
        <v>1</v>
      </c>
    </row>
    <row r="30" spans="1:11" x14ac:dyDescent="0.2">
      <c r="D30" s="354" t="s">
        <v>664</v>
      </c>
      <c r="E30" s="420">
        <f>(1-(49266000/D29))*100</f>
        <v>99.983764561024032</v>
      </c>
      <c r="F30" s="420">
        <f>(1-(F29/E29))*100</f>
        <v>96.925465838509311</v>
      </c>
      <c r="G30" s="420">
        <f>(1-(G29/F29))*100</f>
        <v>98.983297022512701</v>
      </c>
      <c r="H30" s="420">
        <f>(1-(H29/G29))*100</f>
        <v>96.298701298701289</v>
      </c>
      <c r="I30" s="420">
        <f>(1-(I29/H29))*100</f>
        <v>97.017543859649123</v>
      </c>
      <c r="J30" s="420">
        <f>(1-(J29/I29))*100</f>
        <v>94.117647058823522</v>
      </c>
    </row>
    <row r="31" spans="1:11" x14ac:dyDescent="0.2">
      <c r="A31" s="154" t="s">
        <v>621</v>
      </c>
    </row>
    <row r="32" spans="1:11" x14ac:dyDescent="0.2">
      <c r="A32" s="371" t="s">
        <v>44</v>
      </c>
      <c r="B32" s="371" t="s">
        <v>45</v>
      </c>
      <c r="C32" s="371" t="s">
        <v>507</v>
      </c>
      <c r="D32" s="372" t="s">
        <v>484</v>
      </c>
      <c r="E32" s="155"/>
    </row>
    <row r="33" spans="1:5" x14ac:dyDescent="0.2">
      <c r="A33" s="397">
        <v>1</v>
      </c>
      <c r="B33" s="398" t="s">
        <v>54</v>
      </c>
      <c r="C33" s="411" t="s">
        <v>113</v>
      </c>
      <c r="D33" s="412">
        <f>'1. Multirotor Frames'!A27</f>
        <v>1</v>
      </c>
      <c r="E33" s="155"/>
    </row>
    <row r="34" spans="1:5" x14ac:dyDescent="0.2">
      <c r="A34" s="397">
        <v>2</v>
      </c>
      <c r="B34" s="398" t="s">
        <v>52</v>
      </c>
      <c r="C34" s="411" t="s">
        <v>114</v>
      </c>
      <c r="D34" s="412">
        <f>'2. Flight Controllers'!A9</f>
        <v>1</v>
      </c>
      <c r="E34" s="155"/>
    </row>
    <row r="35" spans="1:5" x14ac:dyDescent="0.2">
      <c r="A35" s="397">
        <v>3</v>
      </c>
      <c r="B35" s="398" t="s">
        <v>52</v>
      </c>
      <c r="C35" s="411" t="s">
        <v>130</v>
      </c>
      <c r="D35" s="412">
        <f>'3. Transmitters'!A17</f>
        <v>1</v>
      </c>
      <c r="E35" s="155"/>
    </row>
    <row r="36" spans="1:5" x14ac:dyDescent="0.2">
      <c r="A36" s="397">
        <v>4</v>
      </c>
      <c r="B36" s="398" t="s">
        <v>52</v>
      </c>
      <c r="C36" s="411" t="s">
        <v>53</v>
      </c>
      <c r="D36" s="412">
        <f>'4. Receivers'!A12</f>
        <v>1</v>
      </c>
      <c r="E36" s="155"/>
    </row>
    <row r="37" spans="1:5" x14ac:dyDescent="0.2">
      <c r="A37" s="401">
        <v>5</v>
      </c>
      <c r="B37" s="413" t="s">
        <v>55</v>
      </c>
      <c r="C37" s="384" t="s">
        <v>57</v>
      </c>
      <c r="D37" s="414">
        <f>'5. Cameras'!A13</f>
        <v>1</v>
      </c>
      <c r="E37" s="155"/>
    </row>
    <row r="38" spans="1:5" x14ac:dyDescent="0.2">
      <c r="A38" s="401">
        <v>6</v>
      </c>
      <c r="B38" s="413" t="s">
        <v>55</v>
      </c>
      <c r="C38" s="384" t="s">
        <v>56</v>
      </c>
      <c r="D38" s="414">
        <f>'6. Gimbals'!A13</f>
        <v>1</v>
      </c>
      <c r="E38" s="155"/>
    </row>
    <row r="39" spans="1:5" x14ac:dyDescent="0.2">
      <c r="A39" s="397">
        <v>7</v>
      </c>
      <c r="B39" s="398" t="s">
        <v>52</v>
      </c>
      <c r="C39" s="411" t="s">
        <v>60</v>
      </c>
      <c r="D39" s="412">
        <f>'7. Motors'!A49</f>
        <v>1</v>
      </c>
      <c r="E39" s="155"/>
    </row>
    <row r="40" spans="1:5" x14ac:dyDescent="0.2">
      <c r="A40" s="397">
        <v>8</v>
      </c>
      <c r="B40" s="405" t="s">
        <v>52</v>
      </c>
      <c r="C40" s="415" t="s">
        <v>61</v>
      </c>
      <c r="D40" s="416">
        <f>'8. ESCs'!A32</f>
        <v>1</v>
      </c>
      <c r="E40" s="155"/>
    </row>
    <row r="41" spans="1:5" x14ac:dyDescent="0.2">
      <c r="A41" s="397">
        <v>9</v>
      </c>
      <c r="B41" s="405" t="s">
        <v>52</v>
      </c>
      <c r="C41" s="415" t="s">
        <v>62</v>
      </c>
      <c r="D41" s="416">
        <f>'9. Batteries'!A26</f>
        <v>1</v>
      </c>
      <c r="E41" s="155"/>
    </row>
    <row r="42" spans="1:5" x14ac:dyDescent="0.2">
      <c r="A42" s="397">
        <v>10</v>
      </c>
      <c r="B42" s="405" t="s">
        <v>54</v>
      </c>
      <c r="C42" s="415" t="s">
        <v>58</v>
      </c>
      <c r="D42" s="416">
        <f>'10. Propellers'!A42</f>
        <v>1</v>
      </c>
      <c r="E42" s="155"/>
    </row>
    <row r="43" spans="1:5" x14ac:dyDescent="0.2">
      <c r="A43" s="407">
        <v>11</v>
      </c>
      <c r="B43" s="402" t="s">
        <v>55</v>
      </c>
      <c r="C43" s="386" t="s">
        <v>158</v>
      </c>
      <c r="D43" s="417">
        <v>1</v>
      </c>
      <c r="E43" s="155"/>
    </row>
    <row r="44" spans="1:5" x14ac:dyDescent="0.2">
      <c r="A44" s="390"/>
      <c r="B44" s="390"/>
      <c r="C44" s="418" t="s">
        <v>357</v>
      </c>
      <c r="D44" s="419">
        <f>D33*D34*D35*D36*D37*D38*D39*D40*D41*D42</f>
        <v>1</v>
      </c>
      <c r="E44" s="155"/>
    </row>
  </sheetData>
  <mergeCells count="1">
    <mergeCell ref="A15:B15"/>
  </mergeCells>
  <phoneticPr fontId="9" type="noConversion"/>
  <dataValidations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80" orientation="landscape" horizontalDpi="4294967292" verticalDpi="4294967292" r:id="rId1"/>
  <ignoredErrors>
    <ignoredError sqref="I5:I6 G9:G12 G6 I9:I12 K5:K6 K9:K12 K13 D9:D12 D5:D6" emptyCellReference="1"/>
    <ignoredError sqref="H12" formula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'6. Gimbals'!$C$3:$C$13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Frames'!$D$3:$D$27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ESCs'!$C$3:$C$27</xm:f>
          </x14:formula1>
          <xm:sqref>E10</xm:sqref>
        </x14:dataValidation>
        <x14:dataValidation type="list" allowBlank="1" showInputMessage="1" showErrorMessage="1">
          <x14:formula1>
            <xm:f>'9. Batteries'!$C$3:$C$26</xm:f>
          </x14:formula1>
          <xm:sqref>E11</xm:sqref>
        </x14:dataValidation>
        <x14:dataValidation type="list" allowBlank="1" showInputMessage="1" showErrorMessage="1">
          <x14:formula1>
            <xm:f>'10. Propellers'!$D$3:$D$42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21" sqref="B21"/>
    </sheetView>
  </sheetViews>
  <sheetFormatPr defaultColWidth="8.875" defaultRowHeight="15.75" x14ac:dyDescent="0.25"/>
  <cols>
    <col min="1" max="1" width="25" bestFit="1" customWidth="1"/>
    <col min="2" max="2" width="20.875" style="233" bestFit="1" customWidth="1"/>
    <col min="3" max="3" width="13.625" bestFit="1" customWidth="1"/>
    <col min="4" max="4" width="10.5" style="233" bestFit="1" customWidth="1"/>
    <col min="5" max="5" width="14.75" bestFit="1" customWidth="1"/>
  </cols>
  <sheetData>
    <row r="1" spans="1:6" x14ac:dyDescent="0.25">
      <c r="A1" s="43" t="s">
        <v>669</v>
      </c>
    </row>
    <row r="2" spans="1:6" s="43" customFormat="1" x14ac:dyDescent="0.25">
      <c r="A2" s="43" t="s">
        <v>694</v>
      </c>
      <c r="B2" s="89" t="s">
        <v>678</v>
      </c>
      <c r="C2" s="43" t="s">
        <v>684</v>
      </c>
      <c r="D2" s="89" t="s">
        <v>683</v>
      </c>
      <c r="E2" s="43" t="s">
        <v>688</v>
      </c>
    </row>
    <row r="3" spans="1:6" x14ac:dyDescent="0.25">
      <c r="A3" t="s">
        <v>670</v>
      </c>
      <c r="B3" s="233" t="s">
        <v>695</v>
      </c>
      <c r="C3" s="26">
        <v>442.56</v>
      </c>
      <c r="D3" s="485">
        <v>474.76</v>
      </c>
      <c r="E3" s="486"/>
      <c r="F3" t="s">
        <v>718</v>
      </c>
    </row>
    <row r="4" spans="1:6" x14ac:dyDescent="0.25">
      <c r="A4" t="s">
        <v>670</v>
      </c>
      <c r="B4" s="233" t="s">
        <v>700</v>
      </c>
      <c r="C4" s="26"/>
      <c r="D4" s="491"/>
      <c r="E4" s="486"/>
    </row>
    <row r="5" spans="1:6" x14ac:dyDescent="0.25">
      <c r="A5" t="s">
        <v>690</v>
      </c>
      <c r="B5" s="233" t="s">
        <v>696</v>
      </c>
      <c r="C5" s="486">
        <v>68.78</v>
      </c>
      <c r="D5" s="485">
        <v>68.78</v>
      </c>
      <c r="E5" s="486"/>
      <c r="F5" t="s">
        <v>718</v>
      </c>
    </row>
    <row r="6" spans="1:6" x14ac:dyDescent="0.25">
      <c r="A6" t="s">
        <v>691</v>
      </c>
      <c r="B6" s="233" t="s">
        <v>697</v>
      </c>
      <c r="C6" s="486">
        <v>68.78</v>
      </c>
      <c r="D6" s="26" t="s">
        <v>698</v>
      </c>
      <c r="E6" s="486"/>
    </row>
    <row r="7" spans="1:6" x14ac:dyDescent="0.25">
      <c r="A7" t="s">
        <v>671</v>
      </c>
      <c r="B7" s="233" t="s">
        <v>679</v>
      </c>
      <c r="C7" s="486">
        <v>939</v>
      </c>
      <c r="D7" s="26"/>
      <c r="E7" s="486">
        <v>160</v>
      </c>
    </row>
    <row r="8" spans="1:6" x14ac:dyDescent="0.25">
      <c r="A8" t="s">
        <v>673</v>
      </c>
      <c r="B8" s="233" t="s">
        <v>680</v>
      </c>
      <c r="C8" s="486">
        <v>729.92</v>
      </c>
      <c r="D8" s="487">
        <v>729.92</v>
      </c>
      <c r="E8" s="486"/>
      <c r="F8" t="s">
        <v>718</v>
      </c>
    </row>
    <row r="9" spans="1:6" x14ac:dyDescent="0.25">
      <c r="A9" t="s">
        <v>675</v>
      </c>
      <c r="B9" s="233" t="s">
        <v>681</v>
      </c>
      <c r="C9" s="486">
        <v>941.89</v>
      </c>
      <c r="D9" s="490">
        <v>941.89</v>
      </c>
      <c r="E9" s="486"/>
      <c r="F9" t="s">
        <v>718</v>
      </c>
    </row>
    <row r="10" spans="1:6" x14ac:dyDescent="0.25">
      <c r="A10" t="s">
        <v>674</v>
      </c>
      <c r="B10" s="233" t="s">
        <v>370</v>
      </c>
      <c r="C10" s="486">
        <v>360</v>
      </c>
      <c r="D10" s="487">
        <v>360</v>
      </c>
      <c r="E10" s="486"/>
      <c r="F10" t="s">
        <v>718</v>
      </c>
    </row>
    <row r="11" spans="1:6" x14ac:dyDescent="0.25">
      <c r="A11" t="s">
        <v>692</v>
      </c>
      <c r="B11" s="233" t="s">
        <v>682</v>
      </c>
      <c r="C11" s="26">
        <f>114.39+43.65+44.46</f>
        <v>202.5</v>
      </c>
      <c r="D11" s="26">
        <f>114.39+43.65+44.46</f>
        <v>202.5</v>
      </c>
      <c r="E11" s="486"/>
    </row>
    <row r="12" spans="1:6" x14ac:dyDescent="0.25">
      <c r="A12" t="s">
        <v>699</v>
      </c>
      <c r="C12" s="486"/>
      <c r="D12" s="26"/>
      <c r="E12" s="26"/>
    </row>
    <row r="13" spans="1:6" x14ac:dyDescent="0.25">
      <c r="A13" t="s">
        <v>686</v>
      </c>
      <c r="B13" s="233" t="s">
        <v>687</v>
      </c>
      <c r="C13" s="486">
        <v>420.22</v>
      </c>
      <c r="D13" s="485">
        <v>420.22</v>
      </c>
      <c r="E13" s="486"/>
      <c r="F13" t="s">
        <v>718</v>
      </c>
    </row>
    <row r="14" spans="1:6" x14ac:dyDescent="0.25">
      <c r="A14" t="s">
        <v>689</v>
      </c>
      <c r="B14" s="233" t="s">
        <v>364</v>
      </c>
      <c r="C14" s="486">
        <v>129.99</v>
      </c>
      <c r="D14" s="488">
        <v>129.99</v>
      </c>
      <c r="E14" s="486"/>
      <c r="F14" t="s">
        <v>718</v>
      </c>
    </row>
    <row r="15" spans="1:6" x14ac:dyDescent="0.25">
      <c r="A15" t="s">
        <v>353</v>
      </c>
      <c r="B15" s="233" t="s">
        <v>693</v>
      </c>
      <c r="C15" s="486">
        <v>369</v>
      </c>
      <c r="D15" s="487">
        <v>369</v>
      </c>
      <c r="E15" s="486"/>
    </row>
    <row r="16" spans="1:6" x14ac:dyDescent="0.25">
      <c r="A16" t="s">
        <v>55</v>
      </c>
      <c r="B16" s="233" t="s">
        <v>685</v>
      </c>
      <c r="C16" s="486">
        <v>107.22</v>
      </c>
      <c r="D16" s="489">
        <f>107.22+117.98</f>
        <v>225.2</v>
      </c>
      <c r="E16" s="486"/>
      <c r="F16" t="s">
        <v>718</v>
      </c>
    </row>
    <row r="17" spans="1:5" x14ac:dyDescent="0.25">
      <c r="A17" s="43" t="s">
        <v>676</v>
      </c>
      <c r="B17" s="89"/>
      <c r="C17" s="89">
        <f>SUM(C3:C16)</f>
        <v>4779.8599999999997</v>
      </c>
      <c r="D17" s="89">
        <f>SUM(D3:D16)</f>
        <v>3922.2599999999993</v>
      </c>
      <c r="E17" s="89">
        <f>SUM(E3:E16)</f>
        <v>160</v>
      </c>
    </row>
    <row r="18" spans="1:5" x14ac:dyDescent="0.25">
      <c r="A18" s="43" t="s">
        <v>677</v>
      </c>
      <c r="B18" s="89"/>
      <c r="C18" s="89">
        <f>B26-C17</f>
        <v>-141.39999999999964</v>
      </c>
      <c r="D18" s="89">
        <f>B26-D17</f>
        <v>716.20000000000073</v>
      </c>
      <c r="E18" s="89"/>
    </row>
    <row r="22" spans="1:5" x14ac:dyDescent="0.25">
      <c r="A22" s="43" t="s">
        <v>668</v>
      </c>
    </row>
    <row r="23" spans="1:5" x14ac:dyDescent="0.25">
      <c r="A23" s="232">
        <v>41745</v>
      </c>
      <c r="B23" s="233">
        <v>3700</v>
      </c>
    </row>
    <row r="24" spans="1:5" x14ac:dyDescent="0.25">
      <c r="A24" s="232">
        <v>41745</v>
      </c>
      <c r="B24" s="233">
        <v>800</v>
      </c>
    </row>
    <row r="25" spans="1:5" x14ac:dyDescent="0.25">
      <c r="B25" s="233">
        <v>138.46</v>
      </c>
    </row>
    <row r="26" spans="1:5" x14ac:dyDescent="0.25">
      <c r="A26" s="43" t="s">
        <v>672</v>
      </c>
      <c r="B26" s="233">
        <f>SUM(B23:B25)</f>
        <v>4638.46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16" sqref="A16"/>
    </sheetView>
  </sheetViews>
  <sheetFormatPr defaultRowHeight="15.75" x14ac:dyDescent="0.25"/>
  <cols>
    <col min="3" max="3" width="11" bestFit="1" customWidth="1"/>
    <col min="4" max="4" width="44.25" bestFit="1" customWidth="1"/>
    <col min="5" max="5" width="89.75" bestFit="1" customWidth="1"/>
    <col min="6" max="6" width="41" bestFit="1" customWidth="1"/>
    <col min="7" max="7" width="30.5" bestFit="1" customWidth="1"/>
  </cols>
  <sheetData>
    <row r="1" spans="1:7" x14ac:dyDescent="0.25">
      <c r="A1" t="s">
        <v>718</v>
      </c>
      <c r="B1" t="s">
        <v>701</v>
      </c>
      <c r="C1" t="s">
        <v>725</v>
      </c>
      <c r="D1" t="s">
        <v>702</v>
      </c>
    </row>
    <row r="2" spans="1:7" x14ac:dyDescent="0.25">
      <c r="A2" t="s">
        <v>718</v>
      </c>
      <c r="B2" t="s">
        <v>703</v>
      </c>
      <c r="C2" t="s">
        <v>704</v>
      </c>
      <c r="D2" t="s">
        <v>705</v>
      </c>
    </row>
    <row r="3" spans="1:7" x14ac:dyDescent="0.25">
      <c r="A3" t="s">
        <v>718</v>
      </c>
      <c r="B3" t="s">
        <v>706</v>
      </c>
      <c r="C3" t="s">
        <v>707</v>
      </c>
      <c r="D3" t="s">
        <v>708</v>
      </c>
    </row>
    <row r="4" spans="1:7" x14ac:dyDescent="0.25">
      <c r="A4" t="s">
        <v>718</v>
      </c>
      <c r="B4" t="s">
        <v>709</v>
      </c>
      <c r="C4" t="s">
        <v>710</v>
      </c>
      <c r="D4" t="s">
        <v>708</v>
      </c>
    </row>
    <row r="5" spans="1:7" x14ac:dyDescent="0.25">
      <c r="A5" t="s">
        <v>718</v>
      </c>
      <c r="B5" t="s">
        <v>711</v>
      </c>
      <c r="C5" t="s">
        <v>712</v>
      </c>
      <c r="D5" t="s">
        <v>713</v>
      </c>
    </row>
    <row r="6" spans="1:7" x14ac:dyDescent="0.25">
      <c r="B6" t="s">
        <v>715</v>
      </c>
      <c r="C6" t="s">
        <v>710</v>
      </c>
      <c r="D6" t="s">
        <v>702</v>
      </c>
    </row>
    <row r="7" spans="1:7" x14ac:dyDescent="0.25">
      <c r="A7" t="s">
        <v>718</v>
      </c>
      <c r="B7" t="s">
        <v>719</v>
      </c>
      <c r="C7" t="s">
        <v>720</v>
      </c>
      <c r="D7" s="494" t="s">
        <v>739</v>
      </c>
      <c r="E7" s="492" t="s">
        <v>723</v>
      </c>
    </row>
    <row r="8" spans="1:7" ht="17.25" customHeight="1" x14ac:dyDescent="0.25">
      <c r="A8" t="s">
        <v>718</v>
      </c>
      <c r="B8" t="s">
        <v>721</v>
      </c>
      <c r="C8" t="s">
        <v>722</v>
      </c>
      <c r="D8" t="s">
        <v>702</v>
      </c>
      <c r="E8" s="493" t="s">
        <v>724</v>
      </c>
    </row>
    <row r="9" spans="1:7" ht="17.25" customHeight="1" x14ac:dyDescent="0.25">
      <c r="A9" t="s">
        <v>718</v>
      </c>
      <c r="B9" t="s">
        <v>743</v>
      </c>
      <c r="C9" t="s">
        <v>744</v>
      </c>
      <c r="D9" s="494" t="s">
        <v>739</v>
      </c>
      <c r="E9" s="493"/>
    </row>
    <row r="10" spans="1:7" x14ac:dyDescent="0.25">
      <c r="A10" t="s">
        <v>718</v>
      </c>
      <c r="B10" t="s">
        <v>726</v>
      </c>
      <c r="C10" t="s">
        <v>727</v>
      </c>
      <c r="D10" s="494" t="s">
        <v>705</v>
      </c>
      <c r="E10" s="494" t="s">
        <v>728</v>
      </c>
      <c r="F10" s="494" t="s">
        <v>729</v>
      </c>
      <c r="G10" s="494" t="s">
        <v>742</v>
      </c>
    </row>
    <row r="11" spans="1:7" x14ac:dyDescent="0.25">
      <c r="A11" t="s">
        <v>718</v>
      </c>
      <c r="B11" t="s">
        <v>730</v>
      </c>
      <c r="C11" t="s">
        <v>731</v>
      </c>
      <c r="D11" s="494" t="s">
        <v>732</v>
      </c>
      <c r="E11" s="494" t="s">
        <v>705</v>
      </c>
      <c r="F11" s="494" t="s">
        <v>733</v>
      </c>
      <c r="G11" s="494" t="s">
        <v>742</v>
      </c>
    </row>
    <row r="12" spans="1:7" x14ac:dyDescent="0.25">
      <c r="A12" t="s">
        <v>718</v>
      </c>
      <c r="B12" t="s">
        <v>734</v>
      </c>
      <c r="C12" t="s">
        <v>714</v>
      </c>
      <c r="D12" t="s">
        <v>713</v>
      </c>
      <c r="E12" s="494" t="s">
        <v>729</v>
      </c>
      <c r="F12" s="494" t="s">
        <v>733</v>
      </c>
      <c r="G12" s="495" t="s">
        <v>740</v>
      </c>
    </row>
    <row r="13" spans="1:7" x14ac:dyDescent="0.25">
      <c r="A13" t="s">
        <v>718</v>
      </c>
      <c r="B13" t="s">
        <v>735</v>
      </c>
      <c r="C13" t="s">
        <v>736</v>
      </c>
      <c r="D13" s="494" t="s">
        <v>732</v>
      </c>
      <c r="E13" t="s">
        <v>713</v>
      </c>
      <c r="F13" s="494" t="s">
        <v>729</v>
      </c>
      <c r="G13" t="s">
        <v>702</v>
      </c>
    </row>
    <row r="14" spans="1:7" x14ac:dyDescent="0.25">
      <c r="A14" t="s">
        <v>718</v>
      </c>
      <c r="B14" t="s">
        <v>737</v>
      </c>
      <c r="C14" t="s">
        <v>738</v>
      </c>
      <c r="D14" s="494" t="s">
        <v>741</v>
      </c>
    </row>
    <row r="15" spans="1:7" x14ac:dyDescent="0.25">
      <c r="B15" t="s">
        <v>716</v>
      </c>
      <c r="C15" t="s">
        <v>717</v>
      </c>
      <c r="D15" t="s">
        <v>702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8" sqref="B8"/>
    </sheetView>
  </sheetViews>
  <sheetFormatPr defaultRowHeight="15.75" x14ac:dyDescent="0.25"/>
  <cols>
    <col min="1" max="1" width="41" bestFit="1" customWidth="1"/>
    <col min="2" max="2" width="1.75" bestFit="1" customWidth="1"/>
    <col min="3" max="3" width="41" bestFit="1" customWidth="1"/>
    <col min="4" max="4" width="33" bestFit="1" customWidth="1"/>
  </cols>
  <sheetData>
    <row r="1" spans="1:2" x14ac:dyDescent="0.25">
      <c r="A1" s="494" t="s">
        <v>728</v>
      </c>
      <c r="B1" t="s">
        <v>718</v>
      </c>
    </row>
    <row r="2" spans="1:2" x14ac:dyDescent="0.25">
      <c r="A2" s="494" t="s">
        <v>741</v>
      </c>
      <c r="B2" t="s">
        <v>718</v>
      </c>
    </row>
    <row r="3" spans="1:2" x14ac:dyDescent="0.25">
      <c r="A3" t="s">
        <v>705</v>
      </c>
      <c r="B3" t="s">
        <v>718</v>
      </c>
    </row>
    <row r="4" spans="1:2" x14ac:dyDescent="0.25">
      <c r="A4" s="494" t="s">
        <v>705</v>
      </c>
      <c r="B4" t="s">
        <v>718</v>
      </c>
    </row>
    <row r="5" spans="1:2" x14ac:dyDescent="0.25">
      <c r="A5" s="494" t="s">
        <v>705</v>
      </c>
      <c r="B5" t="s">
        <v>718</v>
      </c>
    </row>
    <row r="6" spans="1:2" x14ac:dyDescent="0.25">
      <c r="A6" t="s">
        <v>708</v>
      </c>
      <c r="B6" t="s">
        <v>718</v>
      </c>
    </row>
    <row r="7" spans="1:2" x14ac:dyDescent="0.25">
      <c r="A7" t="s">
        <v>708</v>
      </c>
      <c r="B7" s="492" t="s">
        <v>718</v>
      </c>
    </row>
    <row r="8" spans="1:2" x14ac:dyDescent="0.25">
      <c r="A8" t="s">
        <v>702</v>
      </c>
      <c r="B8" s="493" t="s">
        <v>718</v>
      </c>
    </row>
    <row r="9" spans="1:2" x14ac:dyDescent="0.25">
      <c r="A9" t="s">
        <v>702</v>
      </c>
      <c r="B9" s="493" t="s">
        <v>718</v>
      </c>
    </row>
    <row r="10" spans="1:2" x14ac:dyDescent="0.25">
      <c r="A10" t="s">
        <v>702</v>
      </c>
      <c r="B10" t="s">
        <v>718</v>
      </c>
    </row>
    <row r="11" spans="1:2" x14ac:dyDescent="0.25">
      <c r="A11" t="s">
        <v>702</v>
      </c>
      <c r="B11" t="s">
        <v>718</v>
      </c>
    </row>
    <row r="12" spans="1:2" x14ac:dyDescent="0.25">
      <c r="A12" t="s">
        <v>702</v>
      </c>
      <c r="B12" t="s">
        <v>718</v>
      </c>
    </row>
    <row r="13" spans="1:2" x14ac:dyDescent="0.25">
      <c r="A13" s="494" t="s">
        <v>732</v>
      </c>
      <c r="B13" t="s">
        <v>718</v>
      </c>
    </row>
    <row r="14" spans="1:2" x14ac:dyDescent="0.25">
      <c r="A14" s="494" t="s">
        <v>732</v>
      </c>
      <c r="B14" t="s">
        <v>718</v>
      </c>
    </row>
    <row r="15" spans="1:2" x14ac:dyDescent="0.25">
      <c r="A15" s="494" t="s">
        <v>733</v>
      </c>
      <c r="B15" t="s">
        <v>718</v>
      </c>
    </row>
    <row r="16" spans="1:2" x14ac:dyDescent="0.25">
      <c r="A16" s="494" t="s">
        <v>733</v>
      </c>
      <c r="B16" t="s">
        <v>718</v>
      </c>
    </row>
    <row r="17" spans="1:2" x14ac:dyDescent="0.25">
      <c r="A17" s="495" t="s">
        <v>740</v>
      </c>
      <c r="B17" t="s">
        <v>718</v>
      </c>
    </row>
    <row r="18" spans="1:2" x14ac:dyDescent="0.25">
      <c r="A18" t="s">
        <v>713</v>
      </c>
      <c r="B18" t="s">
        <v>718</v>
      </c>
    </row>
    <row r="19" spans="1:2" x14ac:dyDescent="0.25">
      <c r="A19" t="s">
        <v>713</v>
      </c>
      <c r="B19" t="s">
        <v>718</v>
      </c>
    </row>
    <row r="20" spans="1:2" x14ac:dyDescent="0.25">
      <c r="A20" t="s">
        <v>713</v>
      </c>
      <c r="B20" t="s">
        <v>718</v>
      </c>
    </row>
    <row r="21" spans="1:2" x14ac:dyDescent="0.25">
      <c r="A21" s="494" t="s">
        <v>729</v>
      </c>
      <c r="B21" t="s">
        <v>718</v>
      </c>
    </row>
    <row r="22" spans="1:2" x14ac:dyDescent="0.25">
      <c r="A22" s="494" t="s">
        <v>729</v>
      </c>
      <c r="B22" t="s">
        <v>718</v>
      </c>
    </row>
    <row r="23" spans="1:2" x14ac:dyDescent="0.25">
      <c r="A23" s="494" t="s">
        <v>729</v>
      </c>
      <c r="B23" t="s">
        <v>718</v>
      </c>
    </row>
    <row r="24" spans="1:2" x14ac:dyDescent="0.25">
      <c r="A24" s="494" t="s">
        <v>739</v>
      </c>
      <c r="B24" t="s">
        <v>718</v>
      </c>
    </row>
    <row r="25" spans="1:2" x14ac:dyDescent="0.25">
      <c r="A25" s="494" t="s">
        <v>739</v>
      </c>
      <c r="B25" t="s">
        <v>718</v>
      </c>
    </row>
    <row r="26" spans="1:2" x14ac:dyDescent="0.25">
      <c r="A26" s="494" t="s">
        <v>742</v>
      </c>
      <c r="B26" t="s">
        <v>718</v>
      </c>
    </row>
    <row r="27" spans="1:2" x14ac:dyDescent="0.25">
      <c r="A27" s="494" t="s">
        <v>742</v>
      </c>
      <c r="B27" t="s">
        <v>718</v>
      </c>
    </row>
  </sheetData>
  <sortState ref="A1:A29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view="pageLayout" topLeftCell="A17" workbookViewId="0">
      <selection activeCell="A24" sqref="A24"/>
    </sheetView>
  </sheetViews>
  <sheetFormatPr defaultColWidth="8.875" defaultRowHeight="15.75" x14ac:dyDescent="0.25"/>
  <cols>
    <col min="1" max="1" width="4.625" bestFit="1" customWidth="1"/>
    <col min="2" max="2" width="10.625" bestFit="1" customWidth="1"/>
    <col min="3" max="3" width="14.875" bestFit="1" customWidth="1"/>
    <col min="4" max="4" width="14.5" bestFit="1" customWidth="1"/>
    <col min="5" max="5" width="5.5" customWidth="1"/>
    <col min="6" max="6" width="5.375" bestFit="1" customWidth="1"/>
    <col min="7" max="7" width="8.375" bestFit="1" customWidth="1"/>
    <col min="8" max="8" width="4.875" style="35" bestFit="1" customWidth="1"/>
    <col min="9" max="9" width="4.625" bestFit="1" customWidth="1"/>
    <col min="10" max="10" width="14.375" bestFit="1" customWidth="1"/>
    <col min="11" max="14" width="4.625" bestFit="1" customWidth="1"/>
    <col min="15" max="15" width="7.625" style="35" customWidth="1"/>
    <col min="16" max="16" width="10.625" bestFit="1" customWidth="1"/>
    <col min="17" max="17" width="24.625" style="37" bestFit="1" customWidth="1"/>
  </cols>
  <sheetData>
    <row r="1" spans="1:17" x14ac:dyDescent="0.25">
      <c r="A1" t="s">
        <v>367</v>
      </c>
    </row>
    <row r="2" spans="1:17" s="38" customFormat="1" ht="136.5" x14ac:dyDescent="0.25">
      <c r="A2" s="103" t="s">
        <v>27</v>
      </c>
      <c r="B2" s="103" t="s">
        <v>28</v>
      </c>
      <c r="C2" s="103" t="s">
        <v>29</v>
      </c>
      <c r="D2" s="103" t="s">
        <v>30</v>
      </c>
      <c r="E2" s="138" t="s">
        <v>72</v>
      </c>
      <c r="F2" s="105" t="s">
        <v>73</v>
      </c>
      <c r="G2" s="105" t="s">
        <v>74</v>
      </c>
      <c r="H2" s="421" t="s">
        <v>109</v>
      </c>
      <c r="I2" s="103" t="s">
        <v>97</v>
      </c>
      <c r="J2" s="103" t="s">
        <v>99</v>
      </c>
      <c r="K2" s="422" t="s">
        <v>171</v>
      </c>
      <c r="L2" s="422" t="s">
        <v>172</v>
      </c>
      <c r="M2" s="422" t="s">
        <v>237</v>
      </c>
      <c r="N2" s="422" t="s">
        <v>115</v>
      </c>
      <c r="O2" s="423" t="s">
        <v>232</v>
      </c>
      <c r="P2" s="422" t="s">
        <v>39</v>
      </c>
      <c r="Q2" s="16" t="s">
        <v>14</v>
      </c>
    </row>
    <row r="3" spans="1:17" x14ac:dyDescent="0.25">
      <c r="A3" s="143">
        <v>21</v>
      </c>
      <c r="B3" s="220" t="s">
        <v>79</v>
      </c>
      <c r="C3" s="220" t="s">
        <v>173</v>
      </c>
      <c r="D3" s="220" t="s">
        <v>174</v>
      </c>
      <c r="E3" s="226" t="s">
        <v>80</v>
      </c>
      <c r="F3" s="424" t="s">
        <v>42</v>
      </c>
      <c r="G3" s="199">
        <v>770</v>
      </c>
      <c r="H3" s="197">
        <f t="shared" ref="H3:H27" si="0">G3/25.4</f>
        <v>30.314960629921263</v>
      </c>
      <c r="I3" s="247" t="s">
        <v>98</v>
      </c>
      <c r="J3" s="425" t="s">
        <v>101</v>
      </c>
      <c r="K3" s="181" t="s">
        <v>94</v>
      </c>
      <c r="L3" s="204">
        <v>14</v>
      </c>
      <c r="M3" s="181" t="s">
        <v>94</v>
      </c>
      <c r="N3" s="181" t="s">
        <v>94</v>
      </c>
      <c r="O3" s="426" t="s">
        <v>42</v>
      </c>
      <c r="P3" s="427">
        <v>1922.69</v>
      </c>
      <c r="Q3" s="85" t="s">
        <v>242</v>
      </c>
    </row>
    <row r="4" spans="1:17" x14ac:dyDescent="0.25">
      <c r="A4" s="143"/>
      <c r="B4" s="220" t="s">
        <v>79</v>
      </c>
      <c r="C4" s="220" t="s">
        <v>173</v>
      </c>
      <c r="D4" s="220" t="s">
        <v>175</v>
      </c>
      <c r="E4" s="226" t="s">
        <v>81</v>
      </c>
      <c r="F4" s="424">
        <v>2415</v>
      </c>
      <c r="G4" s="199">
        <v>940</v>
      </c>
      <c r="H4" s="197">
        <f t="shared" si="0"/>
        <v>37.007874015748037</v>
      </c>
      <c r="I4" s="247" t="s">
        <v>98</v>
      </c>
      <c r="J4" s="425" t="s">
        <v>101</v>
      </c>
      <c r="K4" s="181" t="s">
        <v>94</v>
      </c>
      <c r="L4" s="204">
        <v>13</v>
      </c>
      <c r="M4" s="181" t="s">
        <v>94</v>
      </c>
      <c r="N4" s="181" t="s">
        <v>94</v>
      </c>
      <c r="O4" s="426" t="s">
        <v>42</v>
      </c>
      <c r="P4" s="427">
        <v>2091.5700000000002</v>
      </c>
      <c r="Q4" s="85" t="s">
        <v>242</v>
      </c>
    </row>
    <row r="5" spans="1:17" x14ac:dyDescent="0.25">
      <c r="A5" s="143"/>
      <c r="B5" s="220" t="s">
        <v>79</v>
      </c>
      <c r="C5" s="220" t="s">
        <v>169</v>
      </c>
      <c r="D5" s="220" t="s">
        <v>176</v>
      </c>
      <c r="E5" s="226" t="s">
        <v>80</v>
      </c>
      <c r="F5" s="424" t="s">
        <v>42</v>
      </c>
      <c r="G5" s="199">
        <v>1080</v>
      </c>
      <c r="H5" s="197">
        <f t="shared" si="0"/>
        <v>42.519685039370081</v>
      </c>
      <c r="I5" s="247" t="s">
        <v>98</v>
      </c>
      <c r="J5" s="425" t="s">
        <v>101</v>
      </c>
      <c r="K5" s="181" t="s">
        <v>94</v>
      </c>
      <c r="L5" s="204">
        <v>17</v>
      </c>
      <c r="M5" s="181" t="s">
        <v>94</v>
      </c>
      <c r="N5" s="181" t="s">
        <v>94</v>
      </c>
      <c r="O5" s="426" t="s">
        <v>42</v>
      </c>
      <c r="P5" s="427">
        <v>2684.83</v>
      </c>
      <c r="Q5" s="85" t="s">
        <v>242</v>
      </c>
    </row>
    <row r="6" spans="1:17" x14ac:dyDescent="0.25">
      <c r="A6" s="143"/>
      <c r="B6" s="220" t="s">
        <v>79</v>
      </c>
      <c r="C6" s="220" t="s">
        <v>169</v>
      </c>
      <c r="D6" s="220" t="s">
        <v>177</v>
      </c>
      <c r="E6" s="226" t="s">
        <v>81</v>
      </c>
      <c r="F6" s="424" t="s">
        <v>42</v>
      </c>
      <c r="G6" s="199">
        <v>1160</v>
      </c>
      <c r="H6" s="197">
        <f t="shared" si="0"/>
        <v>45.669291338582681</v>
      </c>
      <c r="I6" s="428" t="s">
        <v>98</v>
      </c>
      <c r="J6" s="425" t="s">
        <v>101</v>
      </c>
      <c r="K6" s="181" t="s">
        <v>94</v>
      </c>
      <c r="L6" s="204">
        <v>15</v>
      </c>
      <c r="M6" s="181" t="s">
        <v>94</v>
      </c>
      <c r="N6" s="181" t="s">
        <v>94</v>
      </c>
      <c r="O6" s="426" t="s">
        <v>42</v>
      </c>
      <c r="P6" s="427">
        <v>3057.25</v>
      </c>
      <c r="Q6" s="85" t="s">
        <v>242</v>
      </c>
    </row>
    <row r="7" spans="1:17" x14ac:dyDescent="0.25">
      <c r="A7" s="143"/>
      <c r="B7" s="220" t="s">
        <v>79</v>
      </c>
      <c r="C7" s="220" t="s">
        <v>169</v>
      </c>
      <c r="D7" s="220" t="s">
        <v>170</v>
      </c>
      <c r="E7" s="226" t="s">
        <v>81</v>
      </c>
      <c r="F7" s="424" t="s">
        <v>42</v>
      </c>
      <c r="G7" s="199">
        <v>900</v>
      </c>
      <c r="H7" s="197">
        <f t="shared" si="0"/>
        <v>35.433070866141733</v>
      </c>
      <c r="I7" s="247" t="s">
        <v>98</v>
      </c>
      <c r="J7" s="425" t="s">
        <v>101</v>
      </c>
      <c r="K7" s="181" t="s">
        <v>94</v>
      </c>
      <c r="L7" s="204">
        <v>15</v>
      </c>
      <c r="M7" s="181" t="s">
        <v>94</v>
      </c>
      <c r="N7" s="181" t="s">
        <v>94</v>
      </c>
      <c r="O7" s="426" t="s">
        <v>42</v>
      </c>
      <c r="P7" s="427">
        <v>2702.15</v>
      </c>
      <c r="Q7" s="85" t="s">
        <v>242</v>
      </c>
    </row>
    <row r="8" spans="1:17" s="95" customFormat="1" x14ac:dyDescent="0.25">
      <c r="A8" s="119"/>
      <c r="B8" s="120"/>
      <c r="C8" s="120"/>
      <c r="D8" s="120"/>
      <c r="E8" s="141"/>
      <c r="F8" s="441"/>
      <c r="G8" s="442"/>
      <c r="H8" s="443"/>
      <c r="I8" s="451"/>
      <c r="J8" s="445"/>
      <c r="K8" s="446"/>
      <c r="L8" s="447"/>
      <c r="M8" s="446"/>
      <c r="N8" s="446"/>
      <c r="O8" s="448"/>
      <c r="P8" s="449"/>
      <c r="Q8" s="450"/>
    </row>
    <row r="9" spans="1:17" s="87" customFormat="1" x14ac:dyDescent="0.25">
      <c r="A9" s="143"/>
      <c r="B9" s="220" t="s">
        <v>136</v>
      </c>
      <c r="C9" s="220" t="s">
        <v>106</v>
      </c>
      <c r="D9" s="220" t="s">
        <v>234</v>
      </c>
      <c r="E9" s="226" t="s">
        <v>80</v>
      </c>
      <c r="F9" s="424" t="s">
        <v>42</v>
      </c>
      <c r="G9" s="199">
        <v>1000</v>
      </c>
      <c r="H9" s="197">
        <f t="shared" si="0"/>
        <v>39.370078740157481</v>
      </c>
      <c r="I9" s="247" t="s">
        <v>98</v>
      </c>
      <c r="J9" s="425" t="s">
        <v>100</v>
      </c>
      <c r="K9" s="181" t="s">
        <v>116</v>
      </c>
      <c r="L9" s="204" t="s">
        <v>42</v>
      </c>
      <c r="M9" s="429" t="s">
        <v>116</v>
      </c>
      <c r="N9" s="181" t="s">
        <v>94</v>
      </c>
      <c r="O9" s="426" t="s">
        <v>42</v>
      </c>
      <c r="P9" s="183">
        <v>350</v>
      </c>
      <c r="Q9" s="202" t="s">
        <v>245</v>
      </c>
    </row>
    <row r="10" spans="1:17" s="87" customFormat="1" x14ac:dyDescent="0.25">
      <c r="A10" s="143"/>
      <c r="B10" s="220" t="s">
        <v>136</v>
      </c>
      <c r="C10" s="220" t="s">
        <v>106</v>
      </c>
      <c r="D10" s="220" t="s">
        <v>229</v>
      </c>
      <c r="E10" s="226" t="s">
        <v>80</v>
      </c>
      <c r="F10" s="430">
        <v>1400</v>
      </c>
      <c r="G10" s="199">
        <v>1050</v>
      </c>
      <c r="H10" s="197">
        <f t="shared" si="0"/>
        <v>41.338582677165356</v>
      </c>
      <c r="I10" s="247" t="s">
        <v>98</v>
      </c>
      <c r="J10" s="425" t="s">
        <v>100</v>
      </c>
      <c r="K10" s="181" t="s">
        <v>116</v>
      </c>
      <c r="L10" s="204">
        <v>17</v>
      </c>
      <c r="M10" s="181" t="s">
        <v>94</v>
      </c>
      <c r="N10" s="181" t="s">
        <v>94</v>
      </c>
      <c r="O10" s="426" t="s">
        <v>42</v>
      </c>
      <c r="P10" s="183">
        <v>349</v>
      </c>
      <c r="Q10" s="202" t="s">
        <v>245</v>
      </c>
    </row>
    <row r="11" spans="1:17" s="87" customFormat="1" x14ac:dyDescent="0.25">
      <c r="A11" s="143"/>
      <c r="B11" s="220" t="s">
        <v>136</v>
      </c>
      <c r="C11" s="220" t="s">
        <v>106</v>
      </c>
      <c r="D11" s="220" t="s">
        <v>228</v>
      </c>
      <c r="E11" s="226" t="s">
        <v>80</v>
      </c>
      <c r="F11" s="424" t="s">
        <v>42</v>
      </c>
      <c r="G11" s="431">
        <v>680</v>
      </c>
      <c r="H11" s="197">
        <f t="shared" si="0"/>
        <v>26.771653543307089</v>
      </c>
      <c r="I11" s="247" t="s">
        <v>98</v>
      </c>
      <c r="J11" s="425" t="s">
        <v>100</v>
      </c>
      <c r="K11" s="181" t="s">
        <v>116</v>
      </c>
      <c r="L11" s="204" t="s">
        <v>42</v>
      </c>
      <c r="M11" s="181" t="s">
        <v>94</v>
      </c>
      <c r="N11" s="181" t="s">
        <v>94</v>
      </c>
      <c r="O11" s="426" t="s">
        <v>42</v>
      </c>
      <c r="P11" s="183">
        <v>195</v>
      </c>
      <c r="Q11" s="202" t="s">
        <v>245</v>
      </c>
    </row>
    <row r="12" spans="1:17" s="95" customFormat="1" x14ac:dyDescent="0.25">
      <c r="A12" s="119"/>
      <c r="B12" s="120"/>
      <c r="C12" s="120"/>
      <c r="D12" s="120"/>
      <c r="E12" s="141"/>
      <c r="F12" s="441"/>
      <c r="G12" s="442"/>
      <c r="H12" s="443"/>
      <c r="I12" s="451"/>
      <c r="J12" s="445"/>
      <c r="K12" s="446"/>
      <c r="L12" s="447"/>
      <c r="M12" s="446"/>
      <c r="N12" s="446"/>
      <c r="O12" s="448"/>
      <c r="P12" s="449"/>
      <c r="Q12" s="121"/>
    </row>
    <row r="13" spans="1:17" s="87" customFormat="1" x14ac:dyDescent="0.25">
      <c r="A13" s="143"/>
      <c r="B13" s="220" t="s">
        <v>78</v>
      </c>
      <c r="C13" s="220" t="s">
        <v>106</v>
      </c>
      <c r="D13" s="220" t="s">
        <v>105</v>
      </c>
      <c r="E13" s="226" t="s">
        <v>80</v>
      </c>
      <c r="F13" s="424">
        <v>720</v>
      </c>
      <c r="G13" s="199">
        <v>650</v>
      </c>
      <c r="H13" s="197">
        <f t="shared" si="0"/>
        <v>25.590551181102363</v>
      </c>
      <c r="I13" s="428" t="s">
        <v>98</v>
      </c>
      <c r="J13" s="425" t="s">
        <v>246</v>
      </c>
      <c r="K13" s="181" t="s">
        <v>116</v>
      </c>
      <c r="L13" s="204" t="s">
        <v>42</v>
      </c>
      <c r="M13" s="429" t="s">
        <v>116</v>
      </c>
      <c r="N13" s="181" t="s">
        <v>94</v>
      </c>
      <c r="O13" s="426" t="s">
        <v>249</v>
      </c>
      <c r="P13" s="183">
        <v>549</v>
      </c>
      <c r="Q13" s="85" t="s">
        <v>243</v>
      </c>
    </row>
    <row r="14" spans="1:17" s="87" customFormat="1" x14ac:dyDescent="0.25">
      <c r="A14" s="143"/>
      <c r="B14" s="220" t="s">
        <v>78</v>
      </c>
      <c r="C14" s="220" t="s">
        <v>106</v>
      </c>
      <c r="D14" s="220" t="s">
        <v>108</v>
      </c>
      <c r="E14" s="226" t="s">
        <v>80</v>
      </c>
      <c r="F14" s="424">
        <v>780</v>
      </c>
      <c r="G14" s="199">
        <v>950</v>
      </c>
      <c r="H14" s="197">
        <f t="shared" si="0"/>
        <v>37.401574803149607</v>
      </c>
      <c r="I14" s="428" t="s">
        <v>98</v>
      </c>
      <c r="J14" s="425" t="s">
        <v>246</v>
      </c>
      <c r="K14" s="181" t="s">
        <v>116</v>
      </c>
      <c r="L14" s="204" t="s">
        <v>42</v>
      </c>
      <c r="M14" s="429" t="s">
        <v>116</v>
      </c>
      <c r="N14" s="181" t="s">
        <v>94</v>
      </c>
      <c r="O14" s="426" t="s">
        <v>251</v>
      </c>
      <c r="P14" s="183">
        <v>590</v>
      </c>
      <c r="Q14" s="85" t="s">
        <v>243</v>
      </c>
    </row>
    <row r="15" spans="1:17" s="87" customFormat="1" x14ac:dyDescent="0.25">
      <c r="A15" s="143"/>
      <c r="B15" s="220" t="s">
        <v>78</v>
      </c>
      <c r="C15" s="220" t="s">
        <v>104</v>
      </c>
      <c r="D15" s="220" t="s">
        <v>95</v>
      </c>
      <c r="E15" s="226" t="s">
        <v>81</v>
      </c>
      <c r="F15" s="424">
        <v>600</v>
      </c>
      <c r="G15" s="431">
        <v>650</v>
      </c>
      <c r="H15" s="197">
        <f t="shared" si="0"/>
        <v>25.590551181102363</v>
      </c>
      <c r="I15" s="428" t="s">
        <v>98</v>
      </c>
      <c r="J15" s="425" t="s">
        <v>246</v>
      </c>
      <c r="K15" s="181" t="s">
        <v>116</v>
      </c>
      <c r="L15" s="204" t="s">
        <v>42</v>
      </c>
      <c r="M15" s="181" t="s">
        <v>116</v>
      </c>
      <c r="N15" s="181" t="s">
        <v>116</v>
      </c>
      <c r="O15" s="426" t="s">
        <v>42</v>
      </c>
      <c r="P15" s="183">
        <v>385</v>
      </c>
      <c r="Q15" s="85" t="s">
        <v>244</v>
      </c>
    </row>
    <row r="16" spans="1:17" s="87" customFormat="1" x14ac:dyDescent="0.25">
      <c r="A16" s="143"/>
      <c r="B16" s="220" t="s">
        <v>78</v>
      </c>
      <c r="C16" s="220" t="s">
        <v>104</v>
      </c>
      <c r="D16" s="220" t="s">
        <v>96</v>
      </c>
      <c r="E16" s="432" t="s">
        <v>81</v>
      </c>
      <c r="F16" s="424">
        <v>655</v>
      </c>
      <c r="G16" s="199">
        <v>950</v>
      </c>
      <c r="H16" s="197">
        <f t="shared" si="0"/>
        <v>37.401574803149607</v>
      </c>
      <c r="I16" s="428" t="s">
        <v>98</v>
      </c>
      <c r="J16" s="425" t="s">
        <v>246</v>
      </c>
      <c r="K16" s="181" t="s">
        <v>116</v>
      </c>
      <c r="L16" s="204" t="s">
        <v>42</v>
      </c>
      <c r="M16" s="181" t="s">
        <v>116</v>
      </c>
      <c r="N16" s="181" t="s">
        <v>116</v>
      </c>
      <c r="O16" s="426" t="s">
        <v>42</v>
      </c>
      <c r="P16" s="183">
        <v>435</v>
      </c>
      <c r="Q16" s="85" t="s">
        <v>244</v>
      </c>
    </row>
    <row r="17" spans="1:17" x14ac:dyDescent="0.25">
      <c r="A17" s="143"/>
      <c r="B17" s="220" t="s">
        <v>78</v>
      </c>
      <c r="C17" s="220" t="s">
        <v>82</v>
      </c>
      <c r="D17" s="220" t="s">
        <v>107</v>
      </c>
      <c r="E17" s="226" t="s">
        <v>81</v>
      </c>
      <c r="F17" s="424">
        <v>1230</v>
      </c>
      <c r="G17" s="199">
        <v>800</v>
      </c>
      <c r="H17" s="197">
        <f t="shared" si="0"/>
        <v>31.496062992125985</v>
      </c>
      <c r="I17" s="428" t="s">
        <v>98</v>
      </c>
      <c r="J17" s="425" t="s">
        <v>246</v>
      </c>
      <c r="K17" s="181" t="s">
        <v>116</v>
      </c>
      <c r="L17" s="204" t="s">
        <v>42</v>
      </c>
      <c r="M17" s="181" t="s">
        <v>94</v>
      </c>
      <c r="N17" s="181" t="s">
        <v>94</v>
      </c>
      <c r="O17" s="426" t="s">
        <v>42</v>
      </c>
      <c r="P17" s="427">
        <v>1100</v>
      </c>
      <c r="Q17" s="85" t="s">
        <v>248</v>
      </c>
    </row>
    <row r="18" spans="1:17" s="95" customFormat="1" x14ac:dyDescent="0.25">
      <c r="A18" s="119"/>
      <c r="B18" s="120"/>
      <c r="C18" s="120"/>
      <c r="D18" s="120"/>
      <c r="E18" s="141"/>
      <c r="F18" s="441"/>
      <c r="G18" s="442"/>
      <c r="H18" s="443"/>
      <c r="I18" s="444"/>
      <c r="J18" s="445"/>
      <c r="K18" s="446"/>
      <c r="L18" s="447"/>
      <c r="M18" s="446"/>
      <c r="N18" s="446"/>
      <c r="O18" s="448"/>
      <c r="P18" s="449"/>
      <c r="Q18" s="450"/>
    </row>
    <row r="19" spans="1:17" x14ac:dyDescent="0.25">
      <c r="A19" s="143"/>
      <c r="B19" s="220" t="s">
        <v>68</v>
      </c>
      <c r="C19" s="220" t="s">
        <v>77</v>
      </c>
      <c r="D19" s="220" t="s">
        <v>76</v>
      </c>
      <c r="E19" s="226" t="s">
        <v>81</v>
      </c>
      <c r="F19" s="424">
        <v>4200</v>
      </c>
      <c r="G19" s="199">
        <v>1000</v>
      </c>
      <c r="H19" s="197">
        <f t="shared" si="0"/>
        <v>39.370078740157481</v>
      </c>
      <c r="I19" s="428" t="s">
        <v>98</v>
      </c>
      <c r="J19" s="425" t="s">
        <v>100</v>
      </c>
      <c r="K19" s="181" t="s">
        <v>94</v>
      </c>
      <c r="L19" s="204">
        <v>15</v>
      </c>
      <c r="M19" s="181" t="s">
        <v>94</v>
      </c>
      <c r="N19" s="181" t="s">
        <v>94</v>
      </c>
      <c r="O19" s="426">
        <v>5.8</v>
      </c>
      <c r="P19" s="427">
        <v>3939</v>
      </c>
      <c r="Q19" s="85" t="s">
        <v>241</v>
      </c>
    </row>
    <row r="20" spans="1:17" x14ac:dyDescent="0.25">
      <c r="A20" s="143"/>
      <c r="B20" s="220" t="s">
        <v>68</v>
      </c>
      <c r="C20" s="220" t="s">
        <v>77</v>
      </c>
      <c r="D20" s="220" t="s">
        <v>75</v>
      </c>
      <c r="E20" s="226" t="s">
        <v>80</v>
      </c>
      <c r="F20" s="424">
        <v>3700</v>
      </c>
      <c r="G20" s="199">
        <v>800</v>
      </c>
      <c r="H20" s="197">
        <f t="shared" si="0"/>
        <v>31.496062992125985</v>
      </c>
      <c r="I20" s="428" t="s">
        <v>98</v>
      </c>
      <c r="J20" s="425" t="s">
        <v>100</v>
      </c>
      <c r="K20" s="181" t="s">
        <v>94</v>
      </c>
      <c r="L20" s="204">
        <v>15</v>
      </c>
      <c r="M20" s="181" t="s">
        <v>116</v>
      </c>
      <c r="N20" s="181" t="s">
        <v>94</v>
      </c>
      <c r="O20" s="426">
        <v>4.3</v>
      </c>
      <c r="P20" s="427">
        <v>2999</v>
      </c>
      <c r="Q20" s="85" t="s">
        <v>241</v>
      </c>
    </row>
    <row r="21" spans="1:17" s="95" customFormat="1" x14ac:dyDescent="0.25">
      <c r="A21" s="119"/>
      <c r="B21" s="120"/>
      <c r="C21" s="120"/>
      <c r="D21" s="120"/>
      <c r="E21" s="141"/>
      <c r="F21" s="441"/>
      <c r="G21" s="442"/>
      <c r="H21" s="443"/>
      <c r="I21" s="444"/>
      <c r="J21" s="445"/>
      <c r="K21" s="446"/>
      <c r="L21" s="447"/>
      <c r="M21" s="446"/>
      <c r="N21" s="446"/>
      <c r="O21" s="448"/>
      <c r="P21" s="449"/>
      <c r="Q21" s="450"/>
    </row>
    <row r="22" spans="1:17" s="87" customFormat="1" x14ac:dyDescent="0.25">
      <c r="A22" s="143"/>
      <c r="B22" s="220" t="s">
        <v>140</v>
      </c>
      <c r="C22" s="220" t="s">
        <v>106</v>
      </c>
      <c r="D22" s="220" t="s">
        <v>236</v>
      </c>
      <c r="E22" s="226" t="s">
        <v>80</v>
      </c>
      <c r="F22" s="424">
        <v>1020</v>
      </c>
      <c r="G22" s="199">
        <v>850</v>
      </c>
      <c r="H22" s="197">
        <f t="shared" si="0"/>
        <v>33.464566929133859</v>
      </c>
      <c r="I22" s="247" t="s">
        <v>98</v>
      </c>
      <c r="J22" s="425" t="s">
        <v>100</v>
      </c>
      <c r="K22" s="181" t="s">
        <v>116</v>
      </c>
      <c r="L22" s="204">
        <v>15</v>
      </c>
      <c r="M22" s="181" t="s">
        <v>94</v>
      </c>
      <c r="N22" s="181" t="s">
        <v>94</v>
      </c>
      <c r="O22" s="433">
        <v>3</v>
      </c>
      <c r="P22" s="183">
        <f>339+105</f>
        <v>444</v>
      </c>
      <c r="Q22" s="85" t="s">
        <v>247</v>
      </c>
    </row>
    <row r="23" spans="1:17" s="172" customFormat="1" x14ac:dyDescent="0.25">
      <c r="A23" s="187">
        <v>1</v>
      </c>
      <c r="B23" s="302" t="s">
        <v>140</v>
      </c>
      <c r="C23" s="302" t="s">
        <v>106</v>
      </c>
      <c r="D23" s="302" t="s">
        <v>231</v>
      </c>
      <c r="E23" s="303" t="s">
        <v>80</v>
      </c>
      <c r="F23" s="434">
        <v>1200</v>
      </c>
      <c r="G23" s="208">
        <v>960</v>
      </c>
      <c r="H23" s="435">
        <f t="shared" si="0"/>
        <v>37.795275590551185</v>
      </c>
      <c r="I23" s="436" t="s">
        <v>98</v>
      </c>
      <c r="J23" s="437" t="s">
        <v>100</v>
      </c>
      <c r="K23" s="438" t="s">
        <v>116</v>
      </c>
      <c r="L23" s="209">
        <v>18</v>
      </c>
      <c r="M23" s="438" t="s">
        <v>94</v>
      </c>
      <c r="N23" s="438" t="s">
        <v>94</v>
      </c>
      <c r="O23" s="439">
        <v>3.5</v>
      </c>
      <c r="P23" s="194">
        <f>339+105</f>
        <v>444</v>
      </c>
      <c r="Q23" s="440" t="s">
        <v>247</v>
      </c>
    </row>
    <row r="24" spans="1:17" s="87" customFormat="1" x14ac:dyDescent="0.25">
      <c r="A24" s="143"/>
      <c r="B24" s="220" t="s">
        <v>140</v>
      </c>
      <c r="C24" s="220" t="s">
        <v>104</v>
      </c>
      <c r="D24" s="220" t="s">
        <v>233</v>
      </c>
      <c r="E24" s="432" t="s">
        <v>81</v>
      </c>
      <c r="F24" s="424">
        <v>1950</v>
      </c>
      <c r="G24" s="199">
        <v>1020</v>
      </c>
      <c r="H24" s="197">
        <f t="shared" si="0"/>
        <v>40.15748031496063</v>
      </c>
      <c r="I24" s="247" t="s">
        <v>98</v>
      </c>
      <c r="J24" s="425" t="s">
        <v>100</v>
      </c>
      <c r="K24" s="181" t="s">
        <v>116</v>
      </c>
      <c r="L24" s="204">
        <v>15</v>
      </c>
      <c r="M24" s="181" t="s">
        <v>94</v>
      </c>
      <c r="N24" s="181" t="s">
        <v>94</v>
      </c>
      <c r="O24" s="426" t="s">
        <v>250</v>
      </c>
      <c r="P24" s="183">
        <v>619</v>
      </c>
      <c r="Q24" s="85" t="s">
        <v>247</v>
      </c>
    </row>
    <row r="25" spans="1:17" s="87" customFormat="1" x14ac:dyDescent="0.25">
      <c r="A25" s="143"/>
      <c r="B25" s="220" t="s">
        <v>140</v>
      </c>
      <c r="C25" s="220" t="s">
        <v>106</v>
      </c>
      <c r="D25" s="220" t="s">
        <v>194</v>
      </c>
      <c r="E25" s="226" t="s">
        <v>80</v>
      </c>
      <c r="F25" s="424">
        <v>600</v>
      </c>
      <c r="G25" s="431">
        <v>680</v>
      </c>
      <c r="H25" s="197">
        <f t="shared" si="0"/>
        <v>26.771653543307089</v>
      </c>
      <c r="I25" s="247" t="s">
        <v>98</v>
      </c>
      <c r="J25" s="425" t="s">
        <v>100</v>
      </c>
      <c r="K25" s="181" t="s">
        <v>116</v>
      </c>
      <c r="L25" s="204">
        <v>13</v>
      </c>
      <c r="M25" s="181" t="s">
        <v>94</v>
      </c>
      <c r="N25" s="181" t="s">
        <v>94</v>
      </c>
      <c r="O25" s="426" t="s">
        <v>42</v>
      </c>
      <c r="P25" s="183">
        <v>169.99</v>
      </c>
      <c r="Q25" s="85" t="s">
        <v>247</v>
      </c>
    </row>
    <row r="26" spans="1:17" s="87" customFormat="1" x14ac:dyDescent="0.25">
      <c r="A26" s="143"/>
      <c r="B26" s="220" t="s">
        <v>140</v>
      </c>
      <c r="C26" s="220" t="s">
        <v>106</v>
      </c>
      <c r="D26" s="220" t="s">
        <v>235</v>
      </c>
      <c r="E26" s="226" t="s">
        <v>80</v>
      </c>
      <c r="F26" s="424">
        <v>600</v>
      </c>
      <c r="G26" s="431">
        <v>690</v>
      </c>
      <c r="H26" s="197">
        <f t="shared" si="0"/>
        <v>27.165354330708663</v>
      </c>
      <c r="I26" s="247" t="s">
        <v>98</v>
      </c>
      <c r="J26" s="425" t="s">
        <v>100</v>
      </c>
      <c r="K26" s="181" t="s">
        <v>116</v>
      </c>
      <c r="L26" s="204">
        <v>13</v>
      </c>
      <c r="M26" s="181" t="s">
        <v>94</v>
      </c>
      <c r="N26" s="181" t="s">
        <v>94</v>
      </c>
      <c r="O26" s="426" t="s">
        <v>42</v>
      </c>
      <c r="P26" s="183">
        <v>199</v>
      </c>
      <c r="Q26" s="85" t="s">
        <v>247</v>
      </c>
    </row>
    <row r="27" spans="1:17" s="87" customFormat="1" x14ac:dyDescent="0.25">
      <c r="A27" s="143">
        <v>1</v>
      </c>
      <c r="B27" s="220" t="s">
        <v>140</v>
      </c>
      <c r="C27" s="220" t="s">
        <v>104</v>
      </c>
      <c r="D27" s="220" t="s">
        <v>230</v>
      </c>
      <c r="E27" s="432" t="s">
        <v>81</v>
      </c>
      <c r="F27" s="424">
        <v>1500</v>
      </c>
      <c r="G27" s="199">
        <v>1020</v>
      </c>
      <c r="H27" s="197">
        <f t="shared" si="0"/>
        <v>40.15748031496063</v>
      </c>
      <c r="I27" s="247" t="s">
        <v>98</v>
      </c>
      <c r="J27" s="425" t="s">
        <v>100</v>
      </c>
      <c r="K27" s="181" t="s">
        <v>116</v>
      </c>
      <c r="L27" s="204">
        <v>15</v>
      </c>
      <c r="M27" s="181" t="s">
        <v>116</v>
      </c>
      <c r="N27" s="181" t="s">
        <v>94</v>
      </c>
      <c r="O27" s="426">
        <v>8</v>
      </c>
      <c r="P27" s="183">
        <v>399</v>
      </c>
      <c r="Q27" s="202" t="s">
        <v>247</v>
      </c>
    </row>
    <row r="28" spans="1:17" s="43" customFormat="1" x14ac:dyDescent="0.25">
      <c r="E28" s="45" t="s">
        <v>238</v>
      </c>
      <c r="F28" s="67">
        <f>MIN(F3:F27)</f>
        <v>600</v>
      </c>
      <c r="G28" s="67">
        <f>MIN(G3:G27)</f>
        <v>650</v>
      </c>
      <c r="H28" s="67">
        <f>MIN(H3:H27)</f>
        <v>25.590551181102363</v>
      </c>
      <c r="I28" s="67"/>
      <c r="J28" s="67"/>
      <c r="K28" s="67"/>
      <c r="L28" s="67">
        <f t="shared" ref="L28" si="1">MIN(L3:L27)</f>
        <v>13</v>
      </c>
      <c r="O28" s="61"/>
      <c r="P28" s="68">
        <f>MIN(P9:P16,P22:P27)</f>
        <v>169.99</v>
      </c>
      <c r="Q28" s="44">
        <f ca="1">NOW()</f>
        <v>41834.848649884261</v>
      </c>
    </row>
    <row r="29" spans="1:17" s="43" customFormat="1" x14ac:dyDescent="0.25">
      <c r="E29" s="71" t="s">
        <v>252</v>
      </c>
      <c r="F29" s="67">
        <f>MAX(F3:F27)</f>
        <v>4200</v>
      </c>
      <c r="G29" s="67">
        <f>MAX(G3:G27)</f>
        <v>1160</v>
      </c>
      <c r="H29" s="67">
        <f>MAX(H3:H27)</f>
        <v>45.669291338582681</v>
      </c>
      <c r="I29" s="67"/>
      <c r="J29" s="67"/>
      <c r="K29" s="67"/>
      <c r="L29" s="67">
        <f t="shared" ref="L29" si="2">MAX(L3:L27)</f>
        <v>18</v>
      </c>
      <c r="O29" s="61"/>
      <c r="P29" s="69">
        <f>MAX(P9:P16,P22:P27)</f>
        <v>619</v>
      </c>
      <c r="Q29" s="70"/>
    </row>
    <row r="30" spans="1:17" s="45" customFormat="1" x14ac:dyDescent="0.25">
      <c r="A30" s="72"/>
      <c r="B30" s="72"/>
      <c r="C30" s="167"/>
      <c r="D30" s="72"/>
      <c r="E30" s="40" t="s">
        <v>253</v>
      </c>
      <c r="F30" s="73">
        <f>AVERAGE(Frame_Mass)</f>
        <v>1504.6666666666667</v>
      </c>
      <c r="G30" s="42">
        <f>AVERAGE(G3:G27)</f>
        <v>885.71428571428567</v>
      </c>
      <c r="H30" s="42">
        <f>AVERAGE(H3:H27)</f>
        <v>34.870641169853769</v>
      </c>
      <c r="I30" s="42"/>
      <c r="J30" s="42"/>
      <c r="K30" s="42"/>
      <c r="L30" s="42">
        <f t="shared" ref="L30" si="3">AVERAGE(L3:L27)</f>
        <v>15</v>
      </c>
      <c r="M30" s="42"/>
      <c r="N30" s="42"/>
      <c r="O30" s="48"/>
      <c r="P30" s="74">
        <f>AVERAGE(P9:P16,P22:P27)</f>
        <v>394.46076923076919</v>
      </c>
      <c r="Q30" s="75"/>
    </row>
    <row r="31" spans="1:17" x14ac:dyDescent="0.25">
      <c r="B31" t="s">
        <v>522</v>
      </c>
    </row>
    <row r="32" spans="1:17" x14ac:dyDescent="0.25">
      <c r="B32" s="87" t="s">
        <v>496</v>
      </c>
      <c r="C32" s="87" t="s">
        <v>513</v>
      </c>
      <c r="D32" s="87" t="s">
        <v>528</v>
      </c>
    </row>
    <row r="33" spans="2:4" x14ac:dyDescent="0.25">
      <c r="B33" s="171" t="s">
        <v>309</v>
      </c>
      <c r="C33" s="234" t="s">
        <v>514</v>
      </c>
      <c r="D33" s="268" t="s">
        <v>530</v>
      </c>
    </row>
    <row r="34" spans="2:4" x14ac:dyDescent="0.25">
      <c r="B34" s="173" t="s">
        <v>495</v>
      </c>
      <c r="C34" s="235" t="s">
        <v>515</v>
      </c>
      <c r="D34" s="269" t="s">
        <v>531</v>
      </c>
    </row>
    <row r="35" spans="2:4" x14ac:dyDescent="0.25">
      <c r="D35" s="172" t="s">
        <v>532</v>
      </c>
    </row>
  </sheetData>
  <sortState ref="B2:R22">
    <sortCondition ref="B2:B22"/>
    <sortCondition ref="C2:C22"/>
    <sortCondition ref="D2:D22"/>
  </sortState>
  <phoneticPr fontId="9" type="noConversion"/>
  <hyperlinks>
    <hyperlink ref="Q19" r:id="rId1"/>
    <hyperlink ref="Q6" r:id="rId2"/>
    <hyperlink ref="Q20" r:id="rId3"/>
    <hyperlink ref="Q7" r:id="rId4"/>
    <hyperlink ref="Q5" r:id="rId5"/>
    <hyperlink ref="Q4" r:id="rId6"/>
    <hyperlink ref="Q3" r:id="rId7"/>
    <hyperlink ref="Q14" r:id="rId8"/>
    <hyperlink ref="Q13" r:id="rId9"/>
    <hyperlink ref="Q16" r:id="rId10"/>
    <hyperlink ref="Q15" r:id="rId11"/>
    <hyperlink ref="Q10" r:id="rId12"/>
    <hyperlink ref="Q9" r:id="rId13"/>
    <hyperlink ref="Q11" r:id="rId14"/>
    <hyperlink ref="Q22" r:id="rId15"/>
    <hyperlink ref="Q23" r:id="rId16"/>
    <hyperlink ref="Q24" r:id="rId17"/>
    <hyperlink ref="Q25" r:id="rId18"/>
    <hyperlink ref="Q26" r:id="rId19"/>
    <hyperlink ref="Q27" r:id="rId20"/>
    <hyperlink ref="Q17" r:id="rId21"/>
  </hyperlinks>
  <pageMargins left="0.7" right="0.7" top="0.75" bottom="0.75" header="0.3" footer="0.3"/>
  <pageSetup scale="75" orientation="landscape" horizontalDpi="4294967292" verticalDpi="4294967292" r:id="rId22"/>
  <extLst>
    <ext xmlns:mx="http://schemas.microsoft.com/office/mac/excel/2008/main" uri="{64002731-A6B0-56B0-2670-7721B7C09600}">
      <mx:PLV Mode="1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view="pageLayout" zoomScale="77" zoomScalePageLayoutView="77" workbookViewId="0">
      <selection activeCell="B21" sqref="B21"/>
    </sheetView>
  </sheetViews>
  <sheetFormatPr defaultColWidth="8.875" defaultRowHeight="15.75" x14ac:dyDescent="0.25"/>
  <cols>
    <col min="1" max="1" width="5" bestFit="1" customWidth="1"/>
    <col min="2" max="2" width="10.125" bestFit="1" customWidth="1"/>
    <col min="3" max="3" width="16.5" bestFit="1" customWidth="1"/>
    <col min="4" max="5" width="4.625" bestFit="1" customWidth="1"/>
    <col min="6" max="6" width="4.625" style="23" bestFit="1" customWidth="1"/>
    <col min="7" max="7" width="4.625" bestFit="1" customWidth="1"/>
    <col min="8" max="8" width="4.875" style="23" bestFit="1" customWidth="1"/>
    <col min="9" max="9" width="8.375" bestFit="1" customWidth="1"/>
    <col min="10" max="10" width="10.5" bestFit="1" customWidth="1"/>
    <col min="11" max="11" width="35.125" style="24" bestFit="1" customWidth="1"/>
  </cols>
  <sheetData>
    <row r="1" spans="1:11" x14ac:dyDescent="0.25">
      <c r="A1" t="s">
        <v>366</v>
      </c>
    </row>
    <row r="2" spans="1:11" s="38" customFormat="1" ht="99" x14ac:dyDescent="0.25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134</v>
      </c>
      <c r="G2" s="2" t="s">
        <v>112</v>
      </c>
      <c r="H2" s="14" t="s">
        <v>148</v>
      </c>
      <c r="I2" s="15" t="s">
        <v>102</v>
      </c>
      <c r="J2" s="15" t="s">
        <v>39</v>
      </c>
      <c r="K2" s="16" t="s">
        <v>14</v>
      </c>
    </row>
    <row r="3" spans="1:11" s="87" customFormat="1" x14ac:dyDescent="0.25">
      <c r="A3" s="80">
        <v>7</v>
      </c>
      <c r="B3" s="81" t="s">
        <v>86</v>
      </c>
      <c r="C3" s="274" t="s">
        <v>92</v>
      </c>
      <c r="D3" s="82" t="s">
        <v>42</v>
      </c>
      <c r="E3" s="175" t="s">
        <v>116</v>
      </c>
      <c r="F3" s="82" t="s">
        <v>94</v>
      </c>
      <c r="G3" s="83" t="s">
        <v>42</v>
      </c>
      <c r="H3" s="82" t="s">
        <v>42</v>
      </c>
      <c r="I3" s="83">
        <v>0</v>
      </c>
      <c r="J3" s="84">
        <v>339.98</v>
      </c>
      <c r="K3" s="184" t="s">
        <v>358</v>
      </c>
    </row>
    <row r="4" spans="1:11" s="172" customFormat="1" x14ac:dyDescent="0.25">
      <c r="A4" s="212">
        <v>1</v>
      </c>
      <c r="B4" s="213" t="s">
        <v>86</v>
      </c>
      <c r="C4" s="213" t="s">
        <v>91</v>
      </c>
      <c r="D4" s="262" t="s">
        <v>42</v>
      </c>
      <c r="E4" s="214" t="s">
        <v>116</v>
      </c>
      <c r="F4" s="262" t="s">
        <v>94</v>
      </c>
      <c r="G4" s="215" t="s">
        <v>42</v>
      </c>
      <c r="H4" s="262" t="s">
        <v>42</v>
      </c>
      <c r="I4" s="215">
        <f>38+16.8</f>
        <v>54.8</v>
      </c>
      <c r="J4" s="266">
        <v>379.98</v>
      </c>
      <c r="K4" s="272" t="s">
        <v>358</v>
      </c>
    </row>
    <row r="5" spans="1:11" s="87" customFormat="1" x14ac:dyDescent="0.25">
      <c r="A5" s="80"/>
      <c r="B5" s="81" t="s">
        <v>68</v>
      </c>
      <c r="C5" s="81" t="s">
        <v>85</v>
      </c>
      <c r="D5" s="82" t="s">
        <v>94</v>
      </c>
      <c r="E5" s="175" t="s">
        <v>94</v>
      </c>
      <c r="F5" s="82" t="s">
        <v>94</v>
      </c>
      <c r="G5" s="83" t="s">
        <v>94</v>
      </c>
      <c r="H5" s="176" t="s">
        <v>147</v>
      </c>
      <c r="I5" s="83">
        <v>224</v>
      </c>
      <c r="J5" s="149">
        <v>1299</v>
      </c>
      <c r="K5" s="177" t="s">
        <v>90</v>
      </c>
    </row>
    <row r="6" spans="1:11" s="87" customFormat="1" x14ac:dyDescent="0.25">
      <c r="A6" s="80"/>
      <c r="B6" s="276" t="s">
        <v>68</v>
      </c>
      <c r="C6" s="81" t="s">
        <v>83</v>
      </c>
      <c r="D6" s="82" t="s">
        <v>94</v>
      </c>
      <c r="E6" s="86" t="s">
        <v>94</v>
      </c>
      <c r="F6" s="176" t="s">
        <v>94</v>
      </c>
      <c r="G6" s="219" t="s">
        <v>94</v>
      </c>
      <c r="H6" s="176" t="s">
        <v>147</v>
      </c>
      <c r="I6" s="219">
        <v>95</v>
      </c>
      <c r="J6" s="84">
        <v>299</v>
      </c>
      <c r="K6" s="273" t="s">
        <v>88</v>
      </c>
    </row>
    <row r="7" spans="1:11" s="87" customFormat="1" x14ac:dyDescent="0.25">
      <c r="A7" s="80"/>
      <c r="B7" s="81" t="s">
        <v>68</v>
      </c>
      <c r="C7" s="81" t="s">
        <v>84</v>
      </c>
      <c r="D7" s="82" t="s">
        <v>94</v>
      </c>
      <c r="E7" s="175" t="s">
        <v>42</v>
      </c>
      <c r="F7" s="82" t="s">
        <v>94</v>
      </c>
      <c r="G7" s="83" t="s">
        <v>94</v>
      </c>
      <c r="H7" s="176" t="s">
        <v>147</v>
      </c>
      <c r="I7" s="83">
        <v>118</v>
      </c>
      <c r="J7" s="149">
        <v>999</v>
      </c>
      <c r="K7" s="177" t="s">
        <v>89</v>
      </c>
    </row>
    <row r="8" spans="1:11" s="87" customFormat="1" x14ac:dyDescent="0.25">
      <c r="A8" s="80"/>
      <c r="B8" s="237" t="s">
        <v>189</v>
      </c>
      <c r="C8" s="81" t="s">
        <v>191</v>
      </c>
      <c r="D8" s="82" t="s">
        <v>94</v>
      </c>
      <c r="E8" s="175" t="s">
        <v>116</v>
      </c>
      <c r="F8" s="82" t="s">
        <v>94</v>
      </c>
      <c r="G8" s="83" t="s">
        <v>94</v>
      </c>
      <c r="H8" s="82" t="s">
        <v>147</v>
      </c>
      <c r="I8" s="83">
        <v>220</v>
      </c>
      <c r="J8" s="84">
        <v>412</v>
      </c>
      <c r="K8" s="236" t="s">
        <v>359</v>
      </c>
    </row>
    <row r="9" spans="1:11" s="87" customFormat="1" x14ac:dyDescent="0.25">
      <c r="A9" s="80">
        <v>1</v>
      </c>
      <c r="B9" s="237" t="s">
        <v>189</v>
      </c>
      <c r="C9" s="81" t="s">
        <v>190</v>
      </c>
      <c r="D9" s="82" t="s">
        <v>42</v>
      </c>
      <c r="E9" s="175" t="s">
        <v>116</v>
      </c>
      <c r="F9" s="82" t="s">
        <v>94</v>
      </c>
      <c r="G9" s="83" t="s">
        <v>94</v>
      </c>
      <c r="H9" s="82"/>
      <c r="I9" s="83">
        <v>220</v>
      </c>
      <c r="J9" s="84">
        <v>275</v>
      </c>
      <c r="K9" s="236" t="s">
        <v>359</v>
      </c>
    </row>
    <row r="10" spans="1:11" s="43" customFormat="1" x14ac:dyDescent="0.25">
      <c r="A10" s="39"/>
      <c r="B10" s="39"/>
      <c r="C10" s="39"/>
      <c r="D10" s="46"/>
      <c r="E10" s="47"/>
      <c r="F10" s="46"/>
      <c r="G10" s="41"/>
      <c r="H10" s="46" t="s">
        <v>371</v>
      </c>
      <c r="I10" s="42">
        <f>MIN(FC_Mass)</f>
        <v>0</v>
      </c>
      <c r="J10" s="88">
        <f>MIN(FC_Price)</f>
        <v>275</v>
      </c>
      <c r="K10" s="49">
        <f ca="1">NOW()</f>
        <v>41834.848649884261</v>
      </c>
    </row>
    <row r="11" spans="1:11" s="43" customFormat="1" x14ac:dyDescent="0.25">
      <c r="F11" s="59"/>
      <c r="H11" s="59" t="s">
        <v>372</v>
      </c>
      <c r="I11" s="43">
        <f>MAX(FC_Mass)</f>
        <v>224</v>
      </c>
      <c r="J11" s="89">
        <f>MAX(FC_Price)</f>
        <v>1299</v>
      </c>
    </row>
    <row r="12" spans="1:11" x14ac:dyDescent="0.25">
      <c r="B12" t="s">
        <v>522</v>
      </c>
      <c r="H12" s="59" t="s">
        <v>373</v>
      </c>
      <c r="I12" s="43">
        <f>AVERAGE(FC_Mass)</f>
        <v>133.1142857142857</v>
      </c>
      <c r="J12" s="89">
        <f>AVERAGE(FC_Price)</f>
        <v>571.99428571428575</v>
      </c>
    </row>
    <row r="13" spans="1:11" x14ac:dyDescent="0.25">
      <c r="B13" s="87" t="s">
        <v>496</v>
      </c>
      <c r="C13" s="87" t="s">
        <v>513</v>
      </c>
    </row>
    <row r="14" spans="1:11" x14ac:dyDescent="0.25">
      <c r="B14" s="171" t="s">
        <v>309</v>
      </c>
      <c r="C14" s="234" t="s">
        <v>516</v>
      </c>
    </row>
    <row r="16" spans="1:11" x14ac:dyDescent="0.25">
      <c r="B16" s="87" t="s">
        <v>528</v>
      </c>
    </row>
    <row r="17" spans="2:3" x14ac:dyDescent="0.25">
      <c r="B17" s="275" t="s">
        <v>534</v>
      </c>
      <c r="C17" s="278"/>
    </row>
    <row r="18" spans="2:3" x14ac:dyDescent="0.25">
      <c r="B18" s="277" t="s">
        <v>535</v>
      </c>
      <c r="C18" s="277"/>
    </row>
    <row r="19" spans="2:3" x14ac:dyDescent="0.25">
      <c r="B19" s="172" t="s">
        <v>532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</hyperlinks>
  <pageMargins left="0.7" right="0.7" top="0.75" bottom="0.75" header="0.3" footer="0.3"/>
  <pageSetup scale="78" orientation="portrait" horizontalDpi="4294967292" verticalDpi="4294967292" r:id="rId5"/>
  <extLst>
    <ext xmlns:mx="http://schemas.microsoft.com/office/mac/excel/2008/main" uri="{64002731-A6B0-56B0-2670-7721B7C09600}">
      <mx:PLV Mode="1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view="pageLayout" zoomScale="90" zoomScaleNormal="90" zoomScalePageLayoutView="90" workbookViewId="0">
      <selection activeCell="L4" sqref="L4"/>
    </sheetView>
  </sheetViews>
  <sheetFormatPr defaultColWidth="8.875" defaultRowHeight="15.75" x14ac:dyDescent="0.25"/>
  <cols>
    <col min="1" max="1" width="4.625" bestFit="1" customWidth="1"/>
    <col min="2" max="2" width="10" customWidth="1"/>
    <col min="3" max="3" width="10" bestFit="1" customWidth="1"/>
    <col min="4" max="4" width="6.625" bestFit="1" customWidth="1"/>
    <col min="5" max="5" width="4.625" bestFit="1" customWidth="1"/>
    <col min="6" max="6" width="7.5" bestFit="1" customWidth="1"/>
    <col min="7" max="7" width="11.125" bestFit="1" customWidth="1"/>
    <col min="8" max="8" width="4.625" bestFit="1" customWidth="1"/>
    <col min="9" max="9" width="8" bestFit="1" customWidth="1"/>
    <col min="10" max="10" width="4.625" bestFit="1" customWidth="1"/>
    <col min="11" max="11" width="9.125" bestFit="1" customWidth="1"/>
    <col min="12" max="12" width="60" style="24" bestFit="1" customWidth="1"/>
  </cols>
  <sheetData>
    <row r="1" spans="1:12" x14ac:dyDescent="0.25">
      <c r="A1" t="s">
        <v>365</v>
      </c>
    </row>
    <row r="2" spans="1:12" s="38" customFormat="1" ht="95.25" x14ac:dyDescent="0.25">
      <c r="A2" s="103" t="s">
        <v>27</v>
      </c>
      <c r="B2" s="103" t="s">
        <v>28</v>
      </c>
      <c r="C2" s="103" t="s">
        <v>30</v>
      </c>
      <c r="D2" s="103" t="s">
        <v>195</v>
      </c>
      <c r="E2" s="104" t="s">
        <v>87</v>
      </c>
      <c r="F2" s="103" t="s">
        <v>197</v>
      </c>
      <c r="G2" s="103" t="s">
        <v>198</v>
      </c>
      <c r="H2" s="1" t="s">
        <v>200</v>
      </c>
      <c r="I2" s="103" t="s">
        <v>201</v>
      </c>
      <c r="J2" s="1" t="s">
        <v>291</v>
      </c>
      <c r="K2" s="107" t="s">
        <v>153</v>
      </c>
      <c r="L2" s="16" t="s">
        <v>14</v>
      </c>
    </row>
    <row r="3" spans="1:12" s="87" customFormat="1" x14ac:dyDescent="0.25">
      <c r="A3" s="143">
        <v>13</v>
      </c>
      <c r="B3" s="178" t="s">
        <v>117</v>
      </c>
      <c r="C3" s="178" t="s">
        <v>206</v>
      </c>
      <c r="D3" s="179" t="s">
        <v>196</v>
      </c>
      <c r="E3" s="180">
        <v>14</v>
      </c>
      <c r="F3" s="179" t="s">
        <v>188</v>
      </c>
      <c r="G3" s="179" t="s">
        <v>199</v>
      </c>
      <c r="H3" s="181" t="s">
        <v>94</v>
      </c>
      <c r="I3" s="182" t="s">
        <v>327</v>
      </c>
      <c r="J3" s="181" t="s">
        <v>94</v>
      </c>
      <c r="K3" s="183">
        <v>599</v>
      </c>
      <c r="L3" s="184" t="s">
        <v>207</v>
      </c>
    </row>
    <row r="4" spans="1:12" s="172" customFormat="1" x14ac:dyDescent="0.25">
      <c r="A4" s="187">
        <v>1</v>
      </c>
      <c r="B4" s="188" t="s">
        <v>117</v>
      </c>
      <c r="C4" s="188" t="s">
        <v>509</v>
      </c>
      <c r="D4" s="189" t="s">
        <v>196</v>
      </c>
      <c r="E4" s="190">
        <v>14</v>
      </c>
      <c r="F4" s="189" t="s">
        <v>188</v>
      </c>
      <c r="G4" s="189" t="s">
        <v>199</v>
      </c>
      <c r="H4" s="191" t="s">
        <v>94</v>
      </c>
      <c r="I4" s="192" t="s">
        <v>202</v>
      </c>
      <c r="J4" s="193" t="s">
        <v>94</v>
      </c>
      <c r="K4" s="194">
        <v>479</v>
      </c>
      <c r="L4" s="195" t="s">
        <v>666</v>
      </c>
    </row>
    <row r="5" spans="1:12" s="87" customFormat="1" x14ac:dyDescent="0.25">
      <c r="A5" s="143"/>
      <c r="B5" s="178" t="s">
        <v>117</v>
      </c>
      <c r="C5" s="178" t="s">
        <v>322</v>
      </c>
      <c r="D5" s="179" t="s">
        <v>196</v>
      </c>
      <c r="E5" s="180">
        <v>10</v>
      </c>
      <c r="F5" s="179" t="s">
        <v>42</v>
      </c>
      <c r="G5" s="179" t="s">
        <v>199</v>
      </c>
      <c r="H5" s="181" t="s">
        <v>94</v>
      </c>
      <c r="I5" s="182" t="s">
        <v>327</v>
      </c>
      <c r="J5" s="181" t="s">
        <v>94</v>
      </c>
      <c r="K5" s="183">
        <v>549.9</v>
      </c>
      <c r="L5" s="184" t="s">
        <v>326</v>
      </c>
    </row>
    <row r="6" spans="1:12" s="87" customFormat="1" x14ac:dyDescent="0.25">
      <c r="A6" s="143"/>
      <c r="B6" s="178" t="s">
        <v>117</v>
      </c>
      <c r="C6" s="178" t="s">
        <v>321</v>
      </c>
      <c r="D6" s="179" t="s">
        <v>196</v>
      </c>
      <c r="E6" s="180">
        <v>7</v>
      </c>
      <c r="F6" s="179" t="s">
        <v>323</v>
      </c>
      <c r="G6" s="179" t="s">
        <v>199</v>
      </c>
      <c r="H6" s="181" t="s">
        <v>94</v>
      </c>
      <c r="I6" s="182" t="s">
        <v>328</v>
      </c>
      <c r="J6" s="181" t="s">
        <v>94</v>
      </c>
      <c r="K6" s="183">
        <v>279.99</v>
      </c>
      <c r="L6" s="184" t="s">
        <v>325</v>
      </c>
    </row>
    <row r="7" spans="1:12" s="87" customFormat="1" x14ac:dyDescent="0.25">
      <c r="A7" s="143"/>
      <c r="B7" s="178" t="s">
        <v>117</v>
      </c>
      <c r="C7" s="178" t="s">
        <v>320</v>
      </c>
      <c r="D7" s="179" t="s">
        <v>196</v>
      </c>
      <c r="E7" s="180">
        <v>6</v>
      </c>
      <c r="F7" s="179" t="s">
        <v>323</v>
      </c>
      <c r="G7" s="179" t="s">
        <v>199</v>
      </c>
      <c r="H7" s="181" t="s">
        <v>94</v>
      </c>
      <c r="I7" s="182" t="s">
        <v>328</v>
      </c>
      <c r="J7" s="181" t="s">
        <v>94</v>
      </c>
      <c r="K7" s="183">
        <v>212.08</v>
      </c>
      <c r="L7" s="184" t="s">
        <v>324</v>
      </c>
    </row>
    <row r="8" spans="1:12" x14ac:dyDescent="0.25">
      <c r="A8" s="108"/>
      <c r="B8" s="109"/>
      <c r="C8" s="113"/>
      <c r="D8" s="153"/>
      <c r="E8" s="152"/>
      <c r="F8" s="153"/>
      <c r="G8" s="153"/>
      <c r="H8" s="150"/>
      <c r="I8" s="110"/>
      <c r="J8" s="150"/>
      <c r="K8" s="151"/>
      <c r="L8" s="76"/>
    </row>
    <row r="9" spans="1:12" s="87" customFormat="1" x14ac:dyDescent="0.25">
      <c r="A9" s="143"/>
      <c r="B9" s="178" t="s">
        <v>310</v>
      </c>
      <c r="C9" s="178" t="s">
        <v>314</v>
      </c>
      <c r="D9" s="179" t="s">
        <v>196</v>
      </c>
      <c r="E9" s="180">
        <v>14</v>
      </c>
      <c r="F9" s="179" t="s">
        <v>188</v>
      </c>
      <c r="G9" s="179" t="s">
        <v>319</v>
      </c>
      <c r="H9" s="181" t="s">
        <v>94</v>
      </c>
      <c r="I9" s="182" t="s">
        <v>332</v>
      </c>
      <c r="J9" s="181" t="s">
        <v>94</v>
      </c>
      <c r="K9" s="183">
        <v>679</v>
      </c>
      <c r="L9" s="184" t="s">
        <v>315</v>
      </c>
    </row>
    <row r="10" spans="1:12" s="87" customFormat="1" x14ac:dyDescent="0.25">
      <c r="A10" s="143"/>
      <c r="B10" s="178" t="s">
        <v>310</v>
      </c>
      <c r="C10" s="178" t="s">
        <v>313</v>
      </c>
      <c r="D10" s="179" t="s">
        <v>196</v>
      </c>
      <c r="E10" s="180">
        <v>11</v>
      </c>
      <c r="F10" s="179" t="s">
        <v>188</v>
      </c>
      <c r="G10" s="179" t="s">
        <v>319</v>
      </c>
      <c r="H10" s="181" t="s">
        <v>94</v>
      </c>
      <c r="I10" s="182" t="s">
        <v>332</v>
      </c>
      <c r="J10" s="181" t="s">
        <v>94</v>
      </c>
      <c r="K10" s="183">
        <v>799</v>
      </c>
      <c r="L10" s="184" t="s">
        <v>316</v>
      </c>
    </row>
    <row r="11" spans="1:12" s="87" customFormat="1" x14ac:dyDescent="0.25">
      <c r="A11" s="143"/>
      <c r="B11" s="178" t="s">
        <v>310</v>
      </c>
      <c r="C11" s="178" t="s">
        <v>312</v>
      </c>
      <c r="D11" s="179" t="s">
        <v>196</v>
      </c>
      <c r="E11" s="180">
        <v>8</v>
      </c>
      <c r="F11" s="179" t="s">
        <v>188</v>
      </c>
      <c r="G11" s="179" t="s">
        <v>319</v>
      </c>
      <c r="H11" s="181" t="s">
        <v>94</v>
      </c>
      <c r="I11" s="182" t="s">
        <v>331</v>
      </c>
      <c r="J11" s="181" t="s">
        <v>94</v>
      </c>
      <c r="K11" s="183">
        <v>429</v>
      </c>
      <c r="L11" s="184" t="s">
        <v>317</v>
      </c>
    </row>
    <row r="12" spans="1:12" s="87" customFormat="1" x14ac:dyDescent="0.25">
      <c r="A12" s="143"/>
      <c r="B12" s="178" t="s">
        <v>310</v>
      </c>
      <c r="C12" s="178" t="s">
        <v>311</v>
      </c>
      <c r="D12" s="179" t="s">
        <v>196</v>
      </c>
      <c r="E12" s="180">
        <v>6</v>
      </c>
      <c r="F12" s="179" t="s">
        <v>329</v>
      </c>
      <c r="G12" s="179" t="s">
        <v>319</v>
      </c>
      <c r="H12" s="181" t="s">
        <v>94</v>
      </c>
      <c r="I12" s="182" t="s">
        <v>330</v>
      </c>
      <c r="J12" s="181" t="s">
        <v>94</v>
      </c>
      <c r="K12" s="183">
        <v>199</v>
      </c>
      <c r="L12" s="184" t="s">
        <v>318</v>
      </c>
    </row>
    <row r="13" spans="1:12" x14ac:dyDescent="0.25">
      <c r="A13" s="108"/>
      <c r="B13" s="109"/>
      <c r="C13" s="113"/>
      <c r="D13" s="153"/>
      <c r="E13" s="152"/>
      <c r="F13" s="153"/>
      <c r="G13" s="153"/>
      <c r="H13" s="150"/>
      <c r="I13" s="110"/>
      <c r="J13" s="150"/>
      <c r="K13" s="151"/>
      <c r="L13" s="76"/>
    </row>
    <row r="14" spans="1:12" s="87" customFormat="1" x14ac:dyDescent="0.25">
      <c r="A14" s="143"/>
      <c r="B14" s="178" t="s">
        <v>131</v>
      </c>
      <c r="C14" s="178" t="s">
        <v>211</v>
      </c>
      <c r="D14" s="179" t="s">
        <v>196</v>
      </c>
      <c r="E14" s="180">
        <v>9</v>
      </c>
      <c r="F14" s="179" t="s">
        <v>188</v>
      </c>
      <c r="G14" s="185" t="s">
        <v>286</v>
      </c>
      <c r="H14" s="181" t="s">
        <v>94</v>
      </c>
      <c r="I14" s="182" t="s">
        <v>42</v>
      </c>
      <c r="J14" s="181" t="s">
        <v>94</v>
      </c>
      <c r="K14" s="183">
        <v>449.99</v>
      </c>
      <c r="L14" s="186" t="s">
        <v>287</v>
      </c>
    </row>
    <row r="15" spans="1:12" s="87" customFormat="1" x14ac:dyDescent="0.25">
      <c r="A15" s="143"/>
      <c r="B15" s="178" t="s">
        <v>131</v>
      </c>
      <c r="C15" s="178" t="s">
        <v>210</v>
      </c>
      <c r="D15" s="179" t="s">
        <v>196</v>
      </c>
      <c r="E15" s="180">
        <v>8</v>
      </c>
      <c r="F15" s="179" t="s">
        <v>188</v>
      </c>
      <c r="G15" s="185" t="s">
        <v>286</v>
      </c>
      <c r="H15" s="181" t="s">
        <v>94</v>
      </c>
      <c r="I15" s="182" t="s">
        <v>42</v>
      </c>
      <c r="J15" s="181" t="s">
        <v>94</v>
      </c>
      <c r="K15" s="183">
        <v>299.99</v>
      </c>
      <c r="L15" s="186" t="s">
        <v>288</v>
      </c>
    </row>
    <row r="16" spans="1:12" s="87" customFormat="1" x14ac:dyDescent="0.25">
      <c r="A16" s="143"/>
      <c r="B16" s="178" t="s">
        <v>131</v>
      </c>
      <c r="C16" s="178" t="s">
        <v>209</v>
      </c>
      <c r="D16" s="179" t="s">
        <v>196</v>
      </c>
      <c r="E16" s="180">
        <v>7</v>
      </c>
      <c r="F16" s="179" t="s">
        <v>188</v>
      </c>
      <c r="G16" s="185" t="s">
        <v>286</v>
      </c>
      <c r="H16" s="181" t="s">
        <v>94</v>
      </c>
      <c r="I16" s="182" t="s">
        <v>214</v>
      </c>
      <c r="J16" s="181" t="s">
        <v>94</v>
      </c>
      <c r="K16" s="183">
        <v>299.99</v>
      </c>
      <c r="L16" s="186" t="s">
        <v>289</v>
      </c>
    </row>
    <row r="17" spans="1:12" s="87" customFormat="1" x14ac:dyDescent="0.25">
      <c r="A17" s="143">
        <v>1</v>
      </c>
      <c r="B17" s="178" t="s">
        <v>131</v>
      </c>
      <c r="C17" s="178" t="s">
        <v>208</v>
      </c>
      <c r="D17" s="179" t="s">
        <v>196</v>
      </c>
      <c r="E17" s="180">
        <v>6</v>
      </c>
      <c r="F17" s="179" t="s">
        <v>188</v>
      </c>
      <c r="G17" s="185" t="s">
        <v>286</v>
      </c>
      <c r="H17" s="181" t="s">
        <v>94</v>
      </c>
      <c r="I17" s="182" t="s">
        <v>212</v>
      </c>
      <c r="J17" s="181" t="s">
        <v>94</v>
      </c>
      <c r="K17" s="183">
        <v>229.99</v>
      </c>
      <c r="L17" s="184" t="s">
        <v>290</v>
      </c>
    </row>
    <row r="18" spans="1:12" s="43" customFormat="1" x14ac:dyDescent="0.25">
      <c r="C18" s="43" t="s">
        <v>371</v>
      </c>
      <c r="E18" s="43">
        <f>MIN(E3:E17)</f>
        <v>6</v>
      </c>
      <c r="K18" s="89">
        <f t="shared" ref="K18" si="0">MIN(K3:K17)</f>
        <v>199</v>
      </c>
      <c r="L18" s="49">
        <f ca="1">NOW()</f>
        <v>41834.848649884261</v>
      </c>
    </row>
    <row r="19" spans="1:12" x14ac:dyDescent="0.25">
      <c r="C19" s="90" t="s">
        <v>372</v>
      </c>
      <c r="D19" s="43"/>
      <c r="E19" s="43">
        <f>MAX(E3:E17)</f>
        <v>14</v>
      </c>
      <c r="F19" s="43"/>
      <c r="G19" s="43"/>
      <c r="H19" s="43"/>
      <c r="I19" s="43"/>
      <c r="J19" s="43"/>
      <c r="K19" s="89">
        <f t="shared" ref="K19" si="1">MAX(K3:K17)</f>
        <v>799</v>
      </c>
    </row>
    <row r="20" spans="1:12" x14ac:dyDescent="0.25">
      <c r="C20" s="90" t="s">
        <v>373</v>
      </c>
      <c r="D20" s="43"/>
      <c r="E20" s="43">
        <f>AVERAGE(E3:E17)</f>
        <v>9.2307692307692299</v>
      </c>
      <c r="F20" s="43"/>
      <c r="G20" s="43"/>
      <c r="H20" s="43"/>
      <c r="I20" s="43"/>
      <c r="J20" s="43"/>
      <c r="K20" s="89">
        <f t="shared" ref="K20" si="2">AVERAGE(K3:K17)</f>
        <v>423.53307692307686</v>
      </c>
    </row>
    <row r="22" spans="1:12" x14ac:dyDescent="0.25">
      <c r="B22" t="s">
        <v>522</v>
      </c>
    </row>
    <row r="23" spans="1:12" x14ac:dyDescent="0.25">
      <c r="B23" s="87" t="s">
        <v>496</v>
      </c>
    </row>
    <row r="24" spans="1:12" x14ac:dyDescent="0.25">
      <c r="B24" s="172" t="s">
        <v>505</v>
      </c>
      <c r="C24" s="95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60" fitToHeight="0" orientation="portrait" horizontalDpi="4294967292" verticalDpi="4294967292" r:id="rId4"/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zoomScale="90" zoomScaleNormal="90" zoomScalePageLayoutView="125" workbookViewId="0">
      <selection activeCell="I21" sqref="I21"/>
    </sheetView>
  </sheetViews>
  <sheetFormatPr defaultColWidth="8.875" defaultRowHeight="15.75" x14ac:dyDescent="0.25"/>
  <cols>
    <col min="1" max="1" width="4.625" bestFit="1" customWidth="1"/>
    <col min="2" max="2" width="9.125" bestFit="1" customWidth="1"/>
    <col min="3" max="3" width="12.875" bestFit="1" customWidth="1"/>
    <col min="4" max="4" width="8.625" bestFit="1" customWidth="1"/>
    <col min="5" max="5" width="4.625" bestFit="1" customWidth="1"/>
    <col min="6" max="8" width="4.875" bestFit="1" customWidth="1"/>
    <col min="9" max="9" width="7" bestFit="1" customWidth="1"/>
    <col min="10" max="10" width="4.625" bestFit="1" customWidth="1"/>
    <col min="11" max="11" width="9" bestFit="1" customWidth="1"/>
    <col min="12" max="12" width="21.375" bestFit="1" customWidth="1"/>
  </cols>
  <sheetData>
    <row r="1" spans="1:12" x14ac:dyDescent="0.25">
      <c r="A1" t="s">
        <v>364</v>
      </c>
    </row>
    <row r="2" spans="1:12" ht="79.5" x14ac:dyDescent="0.25">
      <c r="A2" s="1" t="s">
        <v>27</v>
      </c>
      <c r="B2" s="103" t="s">
        <v>28</v>
      </c>
      <c r="C2" s="103" t="s">
        <v>29</v>
      </c>
      <c r="D2" s="103" t="s">
        <v>30</v>
      </c>
      <c r="E2" s="104" t="s">
        <v>204</v>
      </c>
      <c r="F2" s="105" t="s">
        <v>205</v>
      </c>
      <c r="G2" s="106" t="s">
        <v>167</v>
      </c>
      <c r="H2" s="105" t="s">
        <v>166</v>
      </c>
      <c r="I2" s="105" t="s">
        <v>333</v>
      </c>
      <c r="J2" s="105" t="s">
        <v>37</v>
      </c>
      <c r="K2" s="107" t="s">
        <v>39</v>
      </c>
      <c r="L2" s="16" t="s">
        <v>14</v>
      </c>
    </row>
    <row r="3" spans="1:12" s="87" customFormat="1" x14ac:dyDescent="0.25">
      <c r="A3" s="143">
        <v>8</v>
      </c>
      <c r="B3" s="178" t="s">
        <v>117</v>
      </c>
      <c r="C3" s="178" t="s">
        <v>203</v>
      </c>
      <c r="D3" s="182" t="s">
        <v>327</v>
      </c>
      <c r="E3" s="196">
        <v>14</v>
      </c>
      <c r="F3" s="197">
        <v>52</v>
      </c>
      <c r="G3" s="198">
        <v>37.6</v>
      </c>
      <c r="H3" s="197">
        <v>15.9</v>
      </c>
      <c r="I3" s="199" t="s">
        <v>334</v>
      </c>
      <c r="J3" s="200">
        <v>21.5</v>
      </c>
      <c r="K3" s="201">
        <v>169.98</v>
      </c>
      <c r="L3" s="202" t="s">
        <v>360</v>
      </c>
    </row>
    <row r="4" spans="1:12" s="172" customFormat="1" x14ac:dyDescent="0.25">
      <c r="A4" s="187">
        <v>1</v>
      </c>
      <c r="B4" s="188" t="s">
        <v>117</v>
      </c>
      <c r="C4" s="188" t="s">
        <v>203</v>
      </c>
      <c r="D4" s="192" t="s">
        <v>202</v>
      </c>
      <c r="E4" s="205">
        <v>8</v>
      </c>
      <c r="F4" s="206">
        <v>47.3</v>
      </c>
      <c r="G4" s="207">
        <v>24.9</v>
      </c>
      <c r="H4" s="207">
        <v>14.3</v>
      </c>
      <c r="I4" s="208" t="s">
        <v>335</v>
      </c>
      <c r="J4" s="209">
        <v>13.8</v>
      </c>
      <c r="K4" s="210">
        <v>129.99</v>
      </c>
      <c r="L4" s="211" t="s">
        <v>360</v>
      </c>
    </row>
    <row r="5" spans="1:12" s="87" customFormat="1" x14ac:dyDescent="0.25">
      <c r="A5" s="143"/>
      <c r="B5" s="178" t="s">
        <v>117</v>
      </c>
      <c r="C5" s="178" t="s">
        <v>203</v>
      </c>
      <c r="D5" s="182" t="s">
        <v>328</v>
      </c>
      <c r="E5" s="196">
        <v>7</v>
      </c>
      <c r="F5" s="203">
        <v>40</v>
      </c>
      <c r="G5" s="198">
        <v>27</v>
      </c>
      <c r="H5" s="198">
        <v>9</v>
      </c>
      <c r="I5" s="199" t="s">
        <v>334</v>
      </c>
      <c r="J5" s="204">
        <v>9.8000000000000007</v>
      </c>
      <c r="K5" s="201">
        <v>69.95</v>
      </c>
      <c r="L5" s="202" t="s">
        <v>360</v>
      </c>
    </row>
    <row r="6" spans="1:12" x14ac:dyDescent="0.25">
      <c r="A6" s="108"/>
      <c r="B6" s="109"/>
      <c r="C6" s="109"/>
      <c r="D6" s="110"/>
      <c r="E6" s="111"/>
      <c r="F6" s="116"/>
      <c r="G6" s="112"/>
      <c r="H6" s="112"/>
      <c r="I6" s="113"/>
      <c r="J6" s="117"/>
      <c r="K6" s="114"/>
      <c r="L6" s="115"/>
    </row>
    <row r="7" spans="1:12" s="87" customFormat="1" x14ac:dyDescent="0.25">
      <c r="A7" s="143"/>
      <c r="B7" s="178" t="s">
        <v>310</v>
      </c>
      <c r="C7" s="178" t="s">
        <v>338</v>
      </c>
      <c r="D7" s="182" t="s">
        <v>332</v>
      </c>
      <c r="E7" s="196">
        <v>11</v>
      </c>
      <c r="F7" s="203">
        <v>47.5</v>
      </c>
      <c r="G7" s="198">
        <v>32</v>
      </c>
      <c r="H7" s="198">
        <v>14</v>
      </c>
      <c r="I7" s="199" t="s">
        <v>340</v>
      </c>
      <c r="J7" s="204">
        <v>18</v>
      </c>
      <c r="K7" s="201">
        <v>129.99</v>
      </c>
      <c r="L7" s="202" t="s">
        <v>361</v>
      </c>
    </row>
    <row r="8" spans="1:12" s="87" customFormat="1" x14ac:dyDescent="0.25">
      <c r="A8" s="143"/>
      <c r="B8" s="178" t="s">
        <v>310</v>
      </c>
      <c r="C8" s="178" t="s">
        <v>338</v>
      </c>
      <c r="D8" s="182" t="s">
        <v>330</v>
      </c>
      <c r="E8" s="196">
        <v>6</v>
      </c>
      <c r="F8" s="203">
        <v>46.5</v>
      </c>
      <c r="G8" s="198">
        <v>20</v>
      </c>
      <c r="H8" s="198">
        <v>12.5</v>
      </c>
      <c r="I8" s="199" t="s">
        <v>339</v>
      </c>
      <c r="J8" s="204">
        <v>9</v>
      </c>
      <c r="K8" s="201">
        <v>79.989999999999995</v>
      </c>
      <c r="L8" s="202" t="s">
        <v>361</v>
      </c>
    </row>
    <row r="9" spans="1:12" x14ac:dyDescent="0.25">
      <c r="A9" s="108"/>
      <c r="B9" s="109"/>
      <c r="C9" s="109"/>
      <c r="D9" s="110"/>
      <c r="E9" s="111"/>
      <c r="F9" s="116"/>
      <c r="G9" s="112"/>
      <c r="H9" s="112"/>
      <c r="I9" s="113"/>
      <c r="J9" s="117"/>
      <c r="K9" s="114"/>
      <c r="L9" s="115"/>
    </row>
    <row r="10" spans="1:12" s="87" customFormat="1" x14ac:dyDescent="0.25">
      <c r="A10" s="143"/>
      <c r="B10" s="178" t="s">
        <v>131</v>
      </c>
      <c r="C10" s="178" t="s">
        <v>336</v>
      </c>
      <c r="D10" s="182" t="s">
        <v>214</v>
      </c>
      <c r="E10" s="196">
        <v>8</v>
      </c>
      <c r="F10" s="203">
        <v>34.299999999999997</v>
      </c>
      <c r="G10" s="198">
        <v>32.299999999999997</v>
      </c>
      <c r="H10" s="198">
        <v>11.4</v>
      </c>
      <c r="I10" s="199" t="s">
        <v>337</v>
      </c>
      <c r="J10" s="204">
        <v>9.4</v>
      </c>
      <c r="K10" s="201">
        <v>129.99</v>
      </c>
      <c r="L10" s="202" t="s">
        <v>362</v>
      </c>
    </row>
    <row r="11" spans="1:12" s="87" customFormat="1" x14ac:dyDescent="0.25">
      <c r="A11" s="143"/>
      <c r="B11" s="178" t="s">
        <v>131</v>
      </c>
      <c r="C11" s="178" t="s">
        <v>336</v>
      </c>
      <c r="D11" s="182" t="s">
        <v>213</v>
      </c>
      <c r="E11" s="196">
        <v>7</v>
      </c>
      <c r="F11" s="203">
        <v>34.299999999999997</v>
      </c>
      <c r="G11" s="198">
        <v>29.2</v>
      </c>
      <c r="H11" s="198">
        <v>11.4</v>
      </c>
      <c r="I11" s="199" t="s">
        <v>337</v>
      </c>
      <c r="J11" s="204">
        <v>8.9</v>
      </c>
      <c r="K11" s="201">
        <v>89.99</v>
      </c>
      <c r="L11" s="202" t="s">
        <v>362</v>
      </c>
    </row>
    <row r="12" spans="1:12" s="87" customFormat="1" x14ac:dyDescent="0.25">
      <c r="A12" s="143">
        <v>1</v>
      </c>
      <c r="B12" s="178" t="s">
        <v>131</v>
      </c>
      <c r="C12" s="178" t="s">
        <v>336</v>
      </c>
      <c r="D12" s="182" t="s">
        <v>212</v>
      </c>
      <c r="E12" s="196">
        <v>6</v>
      </c>
      <c r="F12" s="203">
        <v>36.6</v>
      </c>
      <c r="G12" s="198">
        <v>26.7</v>
      </c>
      <c r="H12" s="198">
        <v>12.7</v>
      </c>
      <c r="I12" s="199" t="s">
        <v>42</v>
      </c>
      <c r="J12" s="204">
        <v>9</v>
      </c>
      <c r="K12" s="201">
        <v>49.99</v>
      </c>
      <c r="L12" s="202" t="s">
        <v>362</v>
      </c>
    </row>
    <row r="13" spans="1:12" x14ac:dyDescent="0.25">
      <c r="A13" s="43"/>
      <c r="B13" s="54"/>
      <c r="C13" s="54"/>
      <c r="D13" s="79" t="s">
        <v>374</v>
      </c>
      <c r="E13" s="100">
        <f>MIN(E3:E12)</f>
        <v>6</v>
      </c>
      <c r="F13" s="100">
        <f t="shared" ref="F13:K13" si="0">MIN(F3:F12)</f>
        <v>34.299999999999997</v>
      </c>
      <c r="G13" s="100">
        <f t="shared" si="0"/>
        <v>20</v>
      </c>
      <c r="H13" s="100">
        <f t="shared" si="0"/>
        <v>9</v>
      </c>
      <c r="I13" s="100"/>
      <c r="J13" s="100">
        <f t="shared" si="0"/>
        <v>8.9</v>
      </c>
      <c r="K13" s="101">
        <f t="shared" si="0"/>
        <v>49.99</v>
      </c>
      <c r="L13" s="49">
        <f ca="1">NOW()</f>
        <v>41834.848649884261</v>
      </c>
    </row>
    <row r="14" spans="1:12" x14ac:dyDescent="0.25">
      <c r="D14" s="91" t="s">
        <v>375</v>
      </c>
      <c r="E14" s="102">
        <f>MAX(E3:E12)</f>
        <v>14</v>
      </c>
      <c r="F14" s="102">
        <f t="shared" ref="F14:K14" si="1">MAX(F3:F12)</f>
        <v>52</v>
      </c>
      <c r="G14" s="102">
        <f t="shared" si="1"/>
        <v>37.6</v>
      </c>
      <c r="H14" s="102">
        <f t="shared" si="1"/>
        <v>15.9</v>
      </c>
      <c r="I14" s="102"/>
      <c r="J14" s="102">
        <f t="shared" si="1"/>
        <v>21.5</v>
      </c>
      <c r="K14" s="101">
        <f t="shared" si="1"/>
        <v>169.98</v>
      </c>
    </row>
    <row r="15" spans="1:12" x14ac:dyDescent="0.25">
      <c r="B15" s="124" t="s">
        <v>522</v>
      </c>
      <c r="D15" s="91" t="s">
        <v>376</v>
      </c>
      <c r="E15" s="102">
        <f>AVERAGE(E3:E12)</f>
        <v>8.375</v>
      </c>
      <c r="F15" s="102">
        <f t="shared" ref="F15:K15" si="2">AVERAGE(F3:F12)</f>
        <v>42.312500000000007</v>
      </c>
      <c r="G15" s="102">
        <f t="shared" si="2"/>
        <v>28.712499999999999</v>
      </c>
      <c r="H15" s="102">
        <f t="shared" si="2"/>
        <v>12.650000000000002</v>
      </c>
      <c r="I15" s="102"/>
      <c r="J15" s="102">
        <f t="shared" si="2"/>
        <v>12.425000000000001</v>
      </c>
      <c r="K15" s="101">
        <f t="shared" si="2"/>
        <v>106.23375</v>
      </c>
    </row>
    <row r="16" spans="1:12" x14ac:dyDescent="0.25">
      <c r="B16" s="87" t="s">
        <v>496</v>
      </c>
    </row>
    <row r="17" spans="2:4" x14ac:dyDescent="0.25">
      <c r="B17" s="172" t="s">
        <v>506</v>
      </c>
      <c r="C17" s="172"/>
      <c r="D17" s="95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workbookViewId="0">
      <selection activeCell="F18" sqref="F18"/>
    </sheetView>
  </sheetViews>
  <sheetFormatPr defaultColWidth="8.875" defaultRowHeight="15.75" x14ac:dyDescent="0.25"/>
  <cols>
    <col min="1" max="1" width="3" customWidth="1"/>
    <col min="2" max="2" width="11.125" customWidth="1"/>
    <col min="3" max="3" width="23.625" customWidth="1"/>
    <col min="4" max="4" width="4.875" bestFit="1" customWidth="1"/>
    <col min="5" max="5" width="4.625" bestFit="1" customWidth="1"/>
    <col min="6" max="6" width="12.125" bestFit="1" customWidth="1"/>
    <col min="7" max="7" width="8.125" bestFit="1" customWidth="1"/>
    <col min="8" max="8" width="6.125" bestFit="1" customWidth="1"/>
    <col min="9" max="9" width="5.375" bestFit="1" customWidth="1"/>
    <col min="10" max="10" width="12.125" bestFit="1" customWidth="1"/>
    <col min="11" max="11" width="42.5" bestFit="1" customWidth="1"/>
  </cols>
  <sheetData>
    <row r="1" spans="1:11" x14ac:dyDescent="0.25">
      <c r="A1" t="s">
        <v>363</v>
      </c>
    </row>
    <row r="2" spans="1:11" ht="103.5" x14ac:dyDescent="0.25">
      <c r="A2" s="1" t="s">
        <v>27</v>
      </c>
      <c r="B2" s="452" t="s">
        <v>28</v>
      </c>
      <c r="C2" s="452" t="s">
        <v>30</v>
      </c>
      <c r="D2" s="453" t="s">
        <v>124</v>
      </c>
      <c r="E2" s="452" t="s">
        <v>186</v>
      </c>
      <c r="F2" s="452" t="s">
        <v>187</v>
      </c>
      <c r="G2" s="452" t="s">
        <v>125</v>
      </c>
      <c r="H2" s="452" t="s">
        <v>193</v>
      </c>
      <c r="I2" s="452" t="s">
        <v>37</v>
      </c>
      <c r="J2" s="454" t="s">
        <v>39</v>
      </c>
      <c r="K2" s="16" t="s">
        <v>14</v>
      </c>
    </row>
    <row r="3" spans="1:11" s="87" customFormat="1" ht="15.75" customHeight="1" x14ac:dyDescent="0.25">
      <c r="A3" s="143">
        <v>7</v>
      </c>
      <c r="B3" s="220" t="s">
        <v>350</v>
      </c>
      <c r="C3" s="221" t="s">
        <v>380</v>
      </c>
      <c r="D3" s="455">
        <v>12</v>
      </c>
      <c r="E3" s="456" t="s">
        <v>94</v>
      </c>
      <c r="F3" s="220" t="s">
        <v>355</v>
      </c>
      <c r="G3" s="220" t="s">
        <v>188</v>
      </c>
      <c r="H3" s="220" t="s">
        <v>349</v>
      </c>
      <c r="I3" s="181">
        <v>355</v>
      </c>
      <c r="J3" s="457">
        <v>995</v>
      </c>
      <c r="K3" s="458" t="s">
        <v>353</v>
      </c>
    </row>
    <row r="4" spans="1:11" s="95" customFormat="1" ht="15.75" customHeight="1" x14ac:dyDescent="0.25">
      <c r="A4" s="119"/>
      <c r="B4" s="120"/>
      <c r="C4" s="96"/>
      <c r="D4" s="459"/>
      <c r="E4" s="460"/>
      <c r="F4" s="120"/>
      <c r="G4" s="120"/>
      <c r="H4" s="120"/>
      <c r="I4" s="446"/>
      <c r="J4" s="461"/>
      <c r="K4" s="462"/>
    </row>
    <row r="5" spans="1:11" s="87" customFormat="1" ht="15" customHeight="1" x14ac:dyDescent="0.25">
      <c r="A5" s="143"/>
      <c r="B5" s="220" t="s">
        <v>118</v>
      </c>
      <c r="C5" s="221" t="s">
        <v>547</v>
      </c>
      <c r="D5" s="455">
        <v>22.3</v>
      </c>
      <c r="E5" s="463" t="s">
        <v>94</v>
      </c>
      <c r="F5" s="428" t="s">
        <v>356</v>
      </c>
      <c r="G5" s="464" t="s">
        <v>188</v>
      </c>
      <c r="H5" s="464" t="s">
        <v>349</v>
      </c>
      <c r="I5" s="465">
        <v>1244</v>
      </c>
      <c r="J5" s="457">
        <v>3399</v>
      </c>
      <c r="K5" s="202" t="s">
        <v>382</v>
      </c>
    </row>
    <row r="6" spans="1:11" s="95" customFormat="1" ht="15" customHeight="1" x14ac:dyDescent="0.25">
      <c r="A6" s="119"/>
      <c r="B6" s="120"/>
      <c r="C6" s="96"/>
      <c r="D6" s="459"/>
      <c r="E6" s="466"/>
      <c r="F6" s="444"/>
      <c r="G6" s="467"/>
      <c r="H6" s="467"/>
      <c r="I6" s="468"/>
      <c r="J6" s="461"/>
      <c r="K6" s="121"/>
    </row>
    <row r="7" spans="1:11" s="172" customFormat="1" x14ac:dyDescent="0.25">
      <c r="A7" s="187">
        <v>1</v>
      </c>
      <c r="B7" s="302" t="s">
        <v>119</v>
      </c>
      <c r="C7" s="294" t="s">
        <v>121</v>
      </c>
      <c r="D7" s="469">
        <v>12</v>
      </c>
      <c r="E7" s="470" t="s">
        <v>94</v>
      </c>
      <c r="F7" s="302" t="s">
        <v>356</v>
      </c>
      <c r="G7" s="302" t="s">
        <v>126</v>
      </c>
      <c r="H7" s="302" t="s">
        <v>128</v>
      </c>
      <c r="I7" s="438">
        <v>74</v>
      </c>
      <c r="J7" s="471">
        <v>399.99</v>
      </c>
      <c r="K7" s="211" t="s">
        <v>665</v>
      </c>
    </row>
    <row r="8" spans="1:11" s="87" customFormat="1" x14ac:dyDescent="0.25">
      <c r="A8" s="143"/>
      <c r="B8" s="220" t="s">
        <v>119</v>
      </c>
      <c r="C8" s="221" t="s">
        <v>122</v>
      </c>
      <c r="D8" s="455">
        <v>10</v>
      </c>
      <c r="E8" s="456" t="s">
        <v>94</v>
      </c>
      <c r="F8" s="220" t="s">
        <v>356</v>
      </c>
      <c r="G8" s="220" t="s">
        <v>126</v>
      </c>
      <c r="H8" s="220" t="s">
        <v>128</v>
      </c>
      <c r="I8" s="181">
        <v>74</v>
      </c>
      <c r="J8" s="457">
        <v>299.99</v>
      </c>
      <c r="K8" s="458" t="s">
        <v>192</v>
      </c>
    </row>
    <row r="9" spans="1:11" s="95" customFormat="1" x14ac:dyDescent="0.25">
      <c r="A9" s="119"/>
      <c r="B9" s="120"/>
      <c r="C9" s="96"/>
      <c r="D9" s="459"/>
      <c r="E9" s="460"/>
      <c r="F9" s="120"/>
      <c r="G9" s="120"/>
      <c r="H9" s="120"/>
      <c r="I9" s="446"/>
      <c r="J9" s="461"/>
      <c r="K9" s="462"/>
    </row>
    <row r="10" spans="1:11" s="87" customFormat="1" x14ac:dyDescent="0.25">
      <c r="A10" s="143"/>
      <c r="B10" s="220" t="s">
        <v>120</v>
      </c>
      <c r="C10" s="221" t="s">
        <v>123</v>
      </c>
      <c r="D10" s="455">
        <v>12.3</v>
      </c>
      <c r="E10" s="456" t="s">
        <v>94</v>
      </c>
      <c r="F10" s="220" t="s">
        <v>381</v>
      </c>
      <c r="G10" s="220" t="s">
        <v>98</v>
      </c>
      <c r="H10" s="220" t="s">
        <v>225</v>
      </c>
      <c r="I10" s="181">
        <v>840</v>
      </c>
      <c r="J10" s="457">
        <v>1596.95</v>
      </c>
      <c r="K10" s="458" t="s">
        <v>353</v>
      </c>
    </row>
    <row r="11" spans="1:11" s="87" customFormat="1" x14ac:dyDescent="0.25">
      <c r="A11" s="143"/>
      <c r="B11" s="220" t="s">
        <v>120</v>
      </c>
      <c r="C11" s="221" t="s">
        <v>383</v>
      </c>
      <c r="D11" s="455">
        <v>36.299999999999997</v>
      </c>
      <c r="E11" s="456" t="s">
        <v>94</v>
      </c>
      <c r="F11" s="220" t="s">
        <v>355</v>
      </c>
      <c r="G11" s="220" t="s">
        <v>188</v>
      </c>
      <c r="H11" s="220" t="s">
        <v>225</v>
      </c>
      <c r="I11" s="181">
        <v>900</v>
      </c>
      <c r="J11" s="457">
        <v>2799.95</v>
      </c>
      <c r="K11" s="202" t="s">
        <v>384</v>
      </c>
    </row>
    <row r="12" spans="1:11" s="95" customFormat="1" x14ac:dyDescent="0.25">
      <c r="A12" s="119"/>
      <c r="B12" s="120"/>
      <c r="C12" s="96"/>
      <c r="D12" s="459"/>
      <c r="E12" s="460"/>
      <c r="F12" s="120"/>
      <c r="G12" s="120"/>
      <c r="H12" s="120"/>
      <c r="I12" s="446"/>
      <c r="J12" s="461"/>
      <c r="K12" s="121"/>
    </row>
    <row r="13" spans="1:11" s="87" customFormat="1" x14ac:dyDescent="0.25">
      <c r="A13" s="143">
        <v>1</v>
      </c>
      <c r="B13" s="220" t="s">
        <v>351</v>
      </c>
      <c r="C13" s="221" t="s">
        <v>352</v>
      </c>
      <c r="D13" s="455">
        <v>16</v>
      </c>
      <c r="E13" s="456" t="s">
        <v>94</v>
      </c>
      <c r="F13" s="220" t="s">
        <v>354</v>
      </c>
      <c r="G13" s="220" t="s">
        <v>188</v>
      </c>
      <c r="H13" s="220" t="s">
        <v>224</v>
      </c>
      <c r="I13" s="181">
        <v>550</v>
      </c>
      <c r="J13" s="457">
        <v>1298</v>
      </c>
      <c r="K13" s="458" t="s">
        <v>353</v>
      </c>
    </row>
    <row r="14" spans="1:11" s="43" customFormat="1" x14ac:dyDescent="0.25">
      <c r="C14" s="97" t="s">
        <v>371</v>
      </c>
      <c r="D14" s="98">
        <f>MIN(D3:D13)</f>
        <v>10</v>
      </c>
      <c r="E14" s="98"/>
      <c r="F14" s="98"/>
      <c r="G14" s="98"/>
      <c r="H14" s="98"/>
      <c r="I14" s="98">
        <f t="shared" ref="I14:J14" si="0">MIN(I3:I13)</f>
        <v>74</v>
      </c>
      <c r="J14" s="89">
        <f t="shared" si="0"/>
        <v>299.99</v>
      </c>
    </row>
    <row r="15" spans="1:11" s="43" customFormat="1" x14ac:dyDescent="0.25">
      <c r="C15" s="97" t="s">
        <v>372</v>
      </c>
      <c r="D15" s="99">
        <f>MAX(D2:D10)</f>
        <v>22.3</v>
      </c>
      <c r="E15" s="99"/>
      <c r="F15" s="99"/>
      <c r="G15" s="99"/>
      <c r="H15" s="99"/>
      <c r="I15" s="99">
        <f t="shared" ref="I15:J15" si="1">MAX(I2:I10)</f>
        <v>1244</v>
      </c>
      <c r="J15" s="93">
        <f t="shared" si="1"/>
        <v>3399</v>
      </c>
    </row>
    <row r="16" spans="1:11" s="43" customFormat="1" x14ac:dyDescent="0.25">
      <c r="B16" t="s">
        <v>522</v>
      </c>
      <c r="C16" s="97" t="s">
        <v>373</v>
      </c>
      <c r="D16" s="94">
        <f t="shared" ref="D16:I16" si="2">AVERAGE(D3:D13)</f>
        <v>17.271428571428569</v>
      </c>
      <c r="E16" s="94"/>
      <c r="F16" s="94"/>
      <c r="G16" s="94"/>
      <c r="H16" s="94"/>
      <c r="I16" s="94">
        <f t="shared" si="2"/>
        <v>576.71428571428567</v>
      </c>
      <c r="J16" s="93">
        <f>AVERAGE(J3:J13)</f>
        <v>1541.2685714285712</v>
      </c>
    </row>
    <row r="17" spans="2:3" x14ac:dyDescent="0.25">
      <c r="B17" s="87" t="s">
        <v>496</v>
      </c>
    </row>
    <row r="18" spans="2:3" x14ac:dyDescent="0.25">
      <c r="B18" s="172" t="s">
        <v>497</v>
      </c>
      <c r="C18" s="172"/>
    </row>
  </sheetData>
  <sortState ref="B3:K8">
    <sortCondition ref="B3:B8"/>
    <sortCondition ref="C3:C8"/>
  </sortState>
  <phoneticPr fontId="9" type="noConversion"/>
  <hyperlinks>
    <hyperlink ref="K5" r:id="rId1"/>
    <hyperlink ref="K11" r:id="rId2"/>
    <hyperlink ref="K7" r:id="rId3"/>
  </hyperlinks>
  <pageMargins left="0.7" right="0.7" top="0.75" bottom="0.75" header="0.3" footer="0.3"/>
  <pageSetup scale="63" fitToHeight="0" orientation="portrait" horizontalDpi="4294967292" verticalDpi="4294967292" r:id="rId4"/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view="pageLayout" workbookViewId="0">
      <selection activeCell="I4" sqref="I4"/>
    </sheetView>
  </sheetViews>
  <sheetFormatPr defaultColWidth="8.875" defaultRowHeight="15.75" x14ac:dyDescent="0.25"/>
  <cols>
    <col min="1" max="1" width="4.625" bestFit="1" customWidth="1"/>
    <col min="2" max="2" width="11.5" bestFit="1" customWidth="1"/>
    <col min="3" max="3" width="12.125" customWidth="1"/>
    <col min="4" max="4" width="22.875" bestFit="1" customWidth="1"/>
    <col min="5" max="5" width="6.5" customWidth="1"/>
    <col min="6" max="6" width="4.625" bestFit="1" customWidth="1"/>
    <col min="7" max="7" width="5.625" customWidth="1"/>
    <col min="8" max="8" width="10.5" bestFit="1" customWidth="1"/>
    <col min="9" max="9" width="20.875" style="37" bestFit="1" customWidth="1"/>
  </cols>
  <sheetData>
    <row r="1" spans="1:9" x14ac:dyDescent="0.25">
      <c r="A1" t="s">
        <v>368</v>
      </c>
    </row>
    <row r="2" spans="1:9" ht="84.75" x14ac:dyDescent="0.25">
      <c r="A2" s="1" t="s">
        <v>27</v>
      </c>
      <c r="B2" s="1" t="s">
        <v>28</v>
      </c>
      <c r="C2" s="1" t="s">
        <v>30</v>
      </c>
      <c r="D2" s="1" t="s">
        <v>129</v>
      </c>
      <c r="E2" s="104" t="s">
        <v>31</v>
      </c>
      <c r="F2" s="1" t="s">
        <v>138</v>
      </c>
      <c r="G2" s="1" t="s">
        <v>37</v>
      </c>
      <c r="H2" s="422" t="s">
        <v>39</v>
      </c>
      <c r="I2" s="36" t="s">
        <v>14</v>
      </c>
    </row>
    <row r="3" spans="1:9" s="87" customFormat="1" x14ac:dyDescent="0.25">
      <c r="A3" s="143">
        <v>8</v>
      </c>
      <c r="B3" s="472" t="s">
        <v>136</v>
      </c>
      <c r="C3" s="221" t="s">
        <v>139</v>
      </c>
      <c r="D3" s="221" t="s">
        <v>135</v>
      </c>
      <c r="E3" s="473" t="s">
        <v>43</v>
      </c>
      <c r="F3" s="456">
        <v>2</v>
      </c>
      <c r="G3" s="181">
        <v>240</v>
      </c>
      <c r="H3" s="183">
        <v>269</v>
      </c>
      <c r="I3" s="202" t="s">
        <v>245</v>
      </c>
    </row>
    <row r="4" spans="1:9" s="87" customFormat="1" x14ac:dyDescent="0.25">
      <c r="A4" s="143"/>
      <c r="B4" s="472" t="s">
        <v>136</v>
      </c>
      <c r="C4" s="221" t="s">
        <v>137</v>
      </c>
      <c r="D4" s="221" t="s">
        <v>135</v>
      </c>
      <c r="E4" s="473" t="s">
        <v>43</v>
      </c>
      <c r="F4" s="456">
        <v>3</v>
      </c>
      <c r="G4" s="181">
        <v>252</v>
      </c>
      <c r="H4" s="183">
        <v>350</v>
      </c>
      <c r="I4" s="202" t="s">
        <v>245</v>
      </c>
    </row>
    <row r="5" spans="1:9" s="95" customFormat="1" x14ac:dyDescent="0.25">
      <c r="A5" s="119"/>
      <c r="B5" s="120"/>
      <c r="C5" s="96"/>
      <c r="D5" s="96"/>
      <c r="E5" s="474"/>
      <c r="F5" s="460"/>
      <c r="G5" s="446"/>
      <c r="H5" s="449"/>
      <c r="I5" s="121"/>
    </row>
    <row r="6" spans="1:9" s="87" customFormat="1" x14ac:dyDescent="0.25">
      <c r="A6" s="143"/>
      <c r="B6" s="220" t="s">
        <v>68</v>
      </c>
      <c r="C6" s="475" t="s">
        <v>127</v>
      </c>
      <c r="D6" s="221" t="s">
        <v>135</v>
      </c>
      <c r="E6" s="473" t="s">
        <v>146</v>
      </c>
      <c r="F6" s="463">
        <v>2</v>
      </c>
      <c r="G6" s="465">
        <v>157</v>
      </c>
      <c r="H6" s="183">
        <v>369</v>
      </c>
      <c r="I6" s="202" t="s">
        <v>241</v>
      </c>
    </row>
    <row r="7" spans="1:9" s="172" customFormat="1" x14ac:dyDescent="0.25">
      <c r="A7" s="187">
        <v>1</v>
      </c>
      <c r="B7" s="302" t="s">
        <v>68</v>
      </c>
      <c r="C7" s="294" t="s">
        <v>128</v>
      </c>
      <c r="D7" s="294" t="s">
        <v>135</v>
      </c>
      <c r="E7" s="476" t="s">
        <v>146</v>
      </c>
      <c r="F7" s="470">
        <v>3</v>
      </c>
      <c r="G7" s="438">
        <v>168</v>
      </c>
      <c r="H7" s="194">
        <v>399</v>
      </c>
      <c r="I7" s="211" t="s">
        <v>241</v>
      </c>
    </row>
    <row r="8" spans="1:9" s="87" customFormat="1" x14ac:dyDescent="0.25">
      <c r="A8" s="143"/>
      <c r="B8" s="220" t="s">
        <v>68</v>
      </c>
      <c r="C8" s="221" t="s">
        <v>143</v>
      </c>
      <c r="D8" s="477" t="s">
        <v>144</v>
      </c>
      <c r="E8" s="473" t="s">
        <v>145</v>
      </c>
      <c r="F8" s="456">
        <v>3</v>
      </c>
      <c r="G8" s="181">
        <v>1420</v>
      </c>
      <c r="H8" s="183">
        <v>2999</v>
      </c>
      <c r="I8" s="202" t="s">
        <v>241</v>
      </c>
    </row>
    <row r="9" spans="1:9" s="95" customFormat="1" x14ac:dyDescent="0.25">
      <c r="A9" s="119"/>
      <c r="B9" s="120"/>
      <c r="C9" s="96"/>
      <c r="D9" s="96"/>
      <c r="E9" s="474"/>
      <c r="F9" s="460"/>
      <c r="G9" s="446"/>
      <c r="H9" s="449"/>
      <c r="I9" s="121"/>
    </row>
    <row r="10" spans="1:9" s="87" customFormat="1" x14ac:dyDescent="0.25">
      <c r="A10" s="143"/>
      <c r="B10" s="220" t="s">
        <v>223</v>
      </c>
      <c r="C10" s="221" t="s">
        <v>224</v>
      </c>
      <c r="D10" s="477" t="s">
        <v>227</v>
      </c>
      <c r="E10" s="473" t="s">
        <v>42</v>
      </c>
      <c r="F10" s="456">
        <v>2</v>
      </c>
      <c r="G10" s="181">
        <v>410</v>
      </c>
      <c r="H10" s="183">
        <v>869</v>
      </c>
      <c r="I10" s="202" t="s">
        <v>258</v>
      </c>
    </row>
    <row r="11" spans="1:9" s="87" customFormat="1" x14ac:dyDescent="0.25">
      <c r="A11" s="143"/>
      <c r="B11" s="220" t="s">
        <v>223</v>
      </c>
      <c r="C11" s="221" t="s">
        <v>225</v>
      </c>
      <c r="D11" s="477" t="s">
        <v>226</v>
      </c>
      <c r="E11" s="473" t="s">
        <v>42</v>
      </c>
      <c r="F11" s="456">
        <v>2</v>
      </c>
      <c r="G11" s="181">
        <v>590</v>
      </c>
      <c r="H11" s="183">
        <v>975</v>
      </c>
      <c r="I11" s="202" t="s">
        <v>258</v>
      </c>
    </row>
    <row r="12" spans="1:9" s="95" customFormat="1" x14ac:dyDescent="0.25">
      <c r="A12" s="119"/>
      <c r="B12" s="120"/>
      <c r="C12" s="96"/>
      <c r="D12" s="96"/>
      <c r="E12" s="474"/>
      <c r="F12" s="460"/>
      <c r="G12" s="446"/>
      <c r="H12" s="449"/>
      <c r="I12" s="121"/>
    </row>
    <row r="13" spans="1:9" s="87" customFormat="1" x14ac:dyDescent="0.25">
      <c r="A13" s="143">
        <v>1</v>
      </c>
      <c r="B13" s="220" t="s">
        <v>140</v>
      </c>
      <c r="C13" s="221" t="s">
        <v>142</v>
      </c>
      <c r="D13" s="221" t="s">
        <v>135</v>
      </c>
      <c r="E13" s="473" t="s">
        <v>141</v>
      </c>
      <c r="F13" s="456">
        <v>2</v>
      </c>
      <c r="G13" s="181">
        <v>200</v>
      </c>
      <c r="H13" s="478">
        <v>139</v>
      </c>
      <c r="I13" s="202" t="s">
        <v>245</v>
      </c>
    </row>
    <row r="14" spans="1:9" x14ac:dyDescent="0.25">
      <c r="A14" s="39"/>
      <c r="B14" s="39"/>
      <c r="C14" s="50"/>
      <c r="D14" s="50"/>
      <c r="E14" s="40"/>
      <c r="F14" s="92" t="s">
        <v>374</v>
      </c>
      <c r="G14" s="42">
        <f>MIN(G3:G13)</f>
        <v>157</v>
      </c>
      <c r="H14" s="88">
        <f>MIN(H3:H13)</f>
        <v>139</v>
      </c>
      <c r="I14" s="34">
        <f ca="1">NOW()</f>
        <v>41834.848649884261</v>
      </c>
    </row>
    <row r="15" spans="1:9" x14ac:dyDescent="0.25">
      <c r="A15" s="43"/>
      <c r="B15" s="54"/>
      <c r="C15" s="55"/>
      <c r="D15" s="87" t="s">
        <v>496</v>
      </c>
      <c r="E15" s="57"/>
      <c r="F15" s="45" t="s">
        <v>375</v>
      </c>
      <c r="G15" s="42">
        <f>MAX(G4:G14)</f>
        <v>1420</v>
      </c>
      <c r="H15" s="88">
        <f>MAX(H4:H14)</f>
        <v>2999</v>
      </c>
      <c r="I15"/>
    </row>
    <row r="16" spans="1:9" x14ac:dyDescent="0.25">
      <c r="C16" s="95"/>
      <c r="D16" s="171" t="s">
        <v>504</v>
      </c>
      <c r="F16" s="45" t="s">
        <v>376</v>
      </c>
      <c r="G16" s="42">
        <f>AVERAGE(G6:G15)</f>
        <v>565.25</v>
      </c>
      <c r="H16" s="88">
        <f>AVERAGE(H6:H15)</f>
        <v>1111</v>
      </c>
      <c r="I16"/>
    </row>
    <row r="17" spans="3:9" x14ac:dyDescent="0.25">
      <c r="C17" s="95"/>
      <c r="H17" s="37"/>
      <c r="I17"/>
    </row>
    <row r="18" spans="3:9" x14ac:dyDescent="0.25">
      <c r="C18" s="95"/>
      <c r="D18" s="87" t="s">
        <v>513</v>
      </c>
      <c r="H18" s="37"/>
      <c r="I18" t="s">
        <v>603</v>
      </c>
    </row>
    <row r="19" spans="3:9" x14ac:dyDescent="0.25">
      <c r="C19" s="95"/>
      <c r="D19" s="234" t="s">
        <v>517</v>
      </c>
      <c r="I19" s="37" t="s">
        <v>140</v>
      </c>
    </row>
    <row r="20" spans="3:9" x14ac:dyDescent="0.25">
      <c r="C20" s="95"/>
      <c r="D20" s="235" t="s">
        <v>518</v>
      </c>
      <c r="I20" s="37" t="s">
        <v>604</v>
      </c>
    </row>
    <row r="21" spans="3:9" x14ac:dyDescent="0.25">
      <c r="C21" s="95"/>
      <c r="I21" s="37" t="s">
        <v>605</v>
      </c>
    </row>
    <row r="22" spans="3:9" x14ac:dyDescent="0.25">
      <c r="C22" s="95"/>
      <c r="D22" s="87" t="s">
        <v>528</v>
      </c>
      <c r="I22" s="37" t="s">
        <v>606</v>
      </c>
    </row>
    <row r="23" spans="3:9" x14ac:dyDescent="0.25">
      <c r="D23" s="277" t="s">
        <v>536</v>
      </c>
    </row>
    <row r="25" spans="3:9" x14ac:dyDescent="0.25">
      <c r="D25" s="172" t="s">
        <v>532</v>
      </c>
    </row>
  </sheetData>
  <sortState ref="B2:I9">
    <sortCondition ref="B2:B9"/>
    <sortCondition ref="C2:C9"/>
  </sortState>
  <phoneticPr fontId="9" type="noConversion"/>
  <hyperlinks>
    <hyperlink ref="I6" r:id="rId1"/>
    <hyperlink ref="I7" r:id="rId2"/>
    <hyperlink ref="I8" r:id="rId3"/>
    <hyperlink ref="I3" r:id="rId4"/>
    <hyperlink ref="I4" r:id="rId5"/>
    <hyperlink ref="I10" r:id="rId6"/>
    <hyperlink ref="I11" r:id="rId7"/>
    <hyperlink ref="I13" r:id="rId8"/>
  </hyperlinks>
  <pageMargins left="0.7" right="0.7" top="0.75" bottom="0.75" header="0.3" footer="0.3"/>
  <pageSetup scale="85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8"/>
  <sheetViews>
    <sheetView zoomScale="75" zoomScaleNormal="75" zoomScalePageLayoutView="75" workbookViewId="0">
      <pane ySplit="1" topLeftCell="A2" activePane="bottomLeft" state="frozen"/>
      <selection pane="bottomLeft" activeCell="S24" sqref="S24"/>
    </sheetView>
  </sheetViews>
  <sheetFormatPr defaultColWidth="8.875" defaultRowHeight="15.75" x14ac:dyDescent="0.25"/>
  <cols>
    <col min="1" max="1" width="3.625" customWidth="1"/>
    <col min="2" max="2" width="9" bestFit="1" customWidth="1"/>
    <col min="3" max="3" width="12.625" bestFit="1" customWidth="1"/>
    <col min="4" max="4" width="13.125" bestFit="1" customWidth="1"/>
    <col min="5" max="5" width="6.125" style="140" bestFit="1" customWidth="1"/>
    <col min="6" max="6" width="4.625" style="24" bestFit="1" customWidth="1"/>
    <col min="7" max="7" width="4.625" style="25" bestFit="1" customWidth="1"/>
    <col min="8" max="8" width="5.375" bestFit="1" customWidth="1"/>
    <col min="9" max="9" width="4.625" bestFit="1" customWidth="1"/>
    <col min="10" max="10" width="5.875" bestFit="1" customWidth="1"/>
    <col min="11" max="11" width="7.125" bestFit="1" customWidth="1"/>
    <col min="12" max="13" width="4.625" bestFit="1" customWidth="1"/>
    <col min="14" max="14" width="4.875" bestFit="1" customWidth="1"/>
    <col min="15" max="15" width="4.625" bestFit="1" customWidth="1"/>
    <col min="16" max="16" width="4.625" style="26" bestFit="1" customWidth="1"/>
    <col min="17" max="17" width="5" style="27" bestFit="1" customWidth="1"/>
    <col min="18" max="18" width="9.5" bestFit="1" customWidth="1"/>
    <col min="19" max="19" width="28.625" bestFit="1" customWidth="1"/>
    <col min="20" max="20" width="34.125" bestFit="1" customWidth="1"/>
    <col min="21" max="22" width="36.125" bestFit="1" customWidth="1"/>
  </cols>
  <sheetData>
    <row r="1" spans="1:22" s="17" customFormat="1" ht="132" x14ac:dyDescent="0.25">
      <c r="A1" s="105" t="s">
        <v>27</v>
      </c>
      <c r="B1" s="103" t="s">
        <v>28</v>
      </c>
      <c r="C1" s="103" t="s">
        <v>29</v>
      </c>
      <c r="D1" s="103" t="s">
        <v>30</v>
      </c>
      <c r="E1" s="138" t="s">
        <v>31</v>
      </c>
      <c r="F1" s="105" t="s">
        <v>32</v>
      </c>
      <c r="G1" s="106" t="s">
        <v>257</v>
      </c>
      <c r="H1" s="105" t="s">
        <v>33</v>
      </c>
      <c r="I1" s="105" t="s">
        <v>34</v>
      </c>
      <c r="J1" s="105" t="s">
        <v>35</v>
      </c>
      <c r="K1" s="105" t="s">
        <v>36</v>
      </c>
      <c r="L1" s="105" t="s">
        <v>259</v>
      </c>
      <c r="M1" s="105" t="s">
        <v>260</v>
      </c>
      <c r="N1" s="105" t="s">
        <v>255</v>
      </c>
      <c r="O1" s="105" t="s">
        <v>256</v>
      </c>
      <c r="P1" s="105" t="s">
        <v>37</v>
      </c>
      <c r="Q1" s="107" t="s">
        <v>38</v>
      </c>
      <c r="R1" s="107" t="s">
        <v>39</v>
      </c>
      <c r="S1" s="139" t="s">
        <v>14</v>
      </c>
      <c r="T1" s="139" t="s">
        <v>562</v>
      </c>
    </row>
    <row r="2" spans="1:22" s="87" customFormat="1" ht="15" customHeight="1" x14ac:dyDescent="0.25">
      <c r="A2" s="143">
        <v>37</v>
      </c>
      <c r="B2" s="220" t="s">
        <v>215</v>
      </c>
      <c r="C2" s="220" t="s">
        <v>262</v>
      </c>
      <c r="D2" s="221" t="s">
        <v>292</v>
      </c>
      <c r="E2" s="196">
        <v>12</v>
      </c>
      <c r="F2" s="222">
        <v>330</v>
      </c>
      <c r="G2" s="223">
        <v>1.33</v>
      </c>
      <c r="H2" s="178">
        <v>3500</v>
      </c>
      <c r="I2" s="178">
        <v>60</v>
      </c>
      <c r="J2" s="224">
        <v>3.1E-2</v>
      </c>
      <c r="K2" s="182">
        <v>10</v>
      </c>
      <c r="L2" s="182">
        <v>100</v>
      </c>
      <c r="M2" s="223">
        <v>5.98</v>
      </c>
      <c r="N2" s="178">
        <v>40</v>
      </c>
      <c r="O2" s="185">
        <v>68.099999999999994</v>
      </c>
      <c r="P2" s="182">
        <v>460</v>
      </c>
      <c r="Q2" s="182">
        <v>80</v>
      </c>
      <c r="R2" s="142">
        <v>199.99</v>
      </c>
      <c r="S2" s="202" t="s">
        <v>379</v>
      </c>
    </row>
    <row r="3" spans="1:22" s="87" customFormat="1" x14ac:dyDescent="0.25">
      <c r="A3" s="143"/>
      <c r="B3" s="220" t="s">
        <v>215</v>
      </c>
      <c r="C3" s="220" t="s">
        <v>262</v>
      </c>
      <c r="D3" s="221" t="s">
        <v>293</v>
      </c>
      <c r="E3" s="196">
        <v>12</v>
      </c>
      <c r="F3" s="222">
        <v>450</v>
      </c>
      <c r="G3" s="223">
        <v>1.85</v>
      </c>
      <c r="H3" s="178">
        <v>3300</v>
      </c>
      <c r="I3" s="178">
        <v>75</v>
      </c>
      <c r="J3" s="224">
        <v>0.02</v>
      </c>
      <c r="K3" s="182">
        <v>10</v>
      </c>
      <c r="L3" s="182">
        <v>100</v>
      </c>
      <c r="M3" s="223">
        <v>5.98</v>
      </c>
      <c r="N3" s="178">
        <v>40</v>
      </c>
      <c r="O3" s="185">
        <v>68.099999999999994</v>
      </c>
      <c r="P3" s="182">
        <v>460</v>
      </c>
      <c r="Q3" s="182">
        <v>100</v>
      </c>
      <c r="R3" s="142">
        <v>199.99</v>
      </c>
      <c r="S3" s="202" t="s">
        <v>379</v>
      </c>
    </row>
    <row r="4" spans="1:22" s="87" customFormat="1" x14ac:dyDescent="0.25">
      <c r="A4" s="143"/>
      <c r="B4" s="220" t="s">
        <v>215</v>
      </c>
      <c r="C4" s="220" t="s">
        <v>262</v>
      </c>
      <c r="D4" s="221" t="s">
        <v>294</v>
      </c>
      <c r="E4" s="196">
        <v>12</v>
      </c>
      <c r="F4" s="222">
        <v>500</v>
      </c>
      <c r="G4" s="223">
        <v>2.02</v>
      </c>
      <c r="H4" s="178">
        <v>4600</v>
      </c>
      <c r="I4" s="178">
        <v>84</v>
      </c>
      <c r="J4" s="224">
        <v>1.6E-2</v>
      </c>
      <c r="K4" s="182">
        <v>10</v>
      </c>
      <c r="L4" s="182">
        <v>100</v>
      </c>
      <c r="M4" s="223">
        <v>5.98</v>
      </c>
      <c r="N4" s="178">
        <v>40</v>
      </c>
      <c r="O4" s="185">
        <v>68.099999999999994</v>
      </c>
      <c r="P4" s="182">
        <v>460</v>
      </c>
      <c r="Q4" s="182">
        <v>100</v>
      </c>
      <c r="R4" s="142">
        <v>199.99</v>
      </c>
      <c r="S4" s="202" t="s">
        <v>379</v>
      </c>
    </row>
    <row r="5" spans="1:22" s="87" customFormat="1" x14ac:dyDescent="0.25">
      <c r="A5" s="143"/>
      <c r="B5" s="220" t="s">
        <v>215</v>
      </c>
      <c r="C5" s="220" t="s">
        <v>262</v>
      </c>
      <c r="D5" s="221" t="s">
        <v>295</v>
      </c>
      <c r="E5" s="196">
        <v>12</v>
      </c>
      <c r="F5" s="222">
        <v>530</v>
      </c>
      <c r="G5" s="223">
        <v>2.15</v>
      </c>
      <c r="H5" s="178">
        <v>4400</v>
      </c>
      <c r="I5" s="178">
        <v>80</v>
      </c>
      <c r="J5" s="224">
        <v>1.4999999999999999E-2</v>
      </c>
      <c r="K5" s="182">
        <v>10</v>
      </c>
      <c r="L5" s="182">
        <v>100</v>
      </c>
      <c r="M5" s="223">
        <v>5.98</v>
      </c>
      <c r="N5" s="178">
        <v>40</v>
      </c>
      <c r="O5" s="185">
        <v>68.099999999999994</v>
      </c>
      <c r="P5" s="182">
        <v>460</v>
      </c>
      <c r="Q5" s="182">
        <v>100</v>
      </c>
      <c r="R5" s="142">
        <v>199.99</v>
      </c>
      <c r="S5" s="202" t="s">
        <v>379</v>
      </c>
    </row>
    <row r="6" spans="1:22" s="87" customFormat="1" x14ac:dyDescent="0.25">
      <c r="A6" s="143"/>
      <c r="B6" s="220" t="s">
        <v>215</v>
      </c>
      <c r="C6" s="220" t="s">
        <v>262</v>
      </c>
      <c r="D6" s="221" t="s">
        <v>296</v>
      </c>
      <c r="E6" s="196">
        <v>12</v>
      </c>
      <c r="F6" s="222">
        <v>560</v>
      </c>
      <c r="G6" s="223">
        <v>2.2400000000000002</v>
      </c>
      <c r="H6" s="178">
        <v>5200</v>
      </c>
      <c r="I6" s="178">
        <v>100</v>
      </c>
      <c r="J6" s="224">
        <v>1.4E-2</v>
      </c>
      <c r="K6" s="182">
        <v>10</v>
      </c>
      <c r="L6" s="182">
        <v>100</v>
      </c>
      <c r="M6" s="223">
        <v>5.98</v>
      </c>
      <c r="N6" s="178">
        <v>40</v>
      </c>
      <c r="O6" s="185">
        <v>68.099999999999994</v>
      </c>
      <c r="P6" s="182">
        <v>460</v>
      </c>
      <c r="Q6" s="182">
        <v>120</v>
      </c>
      <c r="R6" s="142">
        <v>199.99</v>
      </c>
      <c r="S6" s="202" t="s">
        <v>379</v>
      </c>
    </row>
    <row r="7" spans="1:22" s="95" customFormat="1" x14ac:dyDescent="0.25">
      <c r="A7" s="119"/>
      <c r="B7" s="120"/>
      <c r="C7" s="120"/>
      <c r="D7" s="96"/>
      <c r="E7" s="141"/>
      <c r="F7" s="122"/>
      <c r="G7" s="123"/>
      <c r="H7" s="124"/>
      <c r="I7" s="124"/>
      <c r="J7" s="125"/>
      <c r="K7" s="126"/>
      <c r="L7" s="126"/>
      <c r="M7" s="123"/>
      <c r="N7" s="124"/>
      <c r="O7" s="127"/>
      <c r="P7" s="126"/>
      <c r="Q7" s="126"/>
      <c r="R7" s="128"/>
      <c r="S7" s="121"/>
    </row>
    <row r="8" spans="1:22" s="87" customFormat="1" x14ac:dyDescent="0.25">
      <c r="A8" s="143"/>
      <c r="B8" s="479" t="s">
        <v>215</v>
      </c>
      <c r="C8" s="479" t="s">
        <v>254</v>
      </c>
      <c r="D8" s="480" t="s">
        <v>298</v>
      </c>
      <c r="E8" s="226" t="s">
        <v>146</v>
      </c>
      <c r="F8" s="222">
        <v>360</v>
      </c>
      <c r="G8" s="223">
        <v>0.34</v>
      </c>
      <c r="H8" s="178">
        <v>510</v>
      </c>
      <c r="I8" s="178">
        <v>23</v>
      </c>
      <c r="J8" s="224">
        <v>0.152</v>
      </c>
      <c r="K8" s="182">
        <v>14</v>
      </c>
      <c r="L8" s="185">
        <v>36.5</v>
      </c>
      <c r="M8" s="223">
        <v>3.98</v>
      </c>
      <c r="N8" s="178">
        <v>40</v>
      </c>
      <c r="O8" s="185">
        <v>32.17</v>
      </c>
      <c r="P8" s="182">
        <v>152</v>
      </c>
      <c r="Q8" s="182">
        <v>30</v>
      </c>
      <c r="R8" s="225">
        <v>99.99</v>
      </c>
      <c r="S8" s="202" t="s">
        <v>379</v>
      </c>
      <c r="T8" s="87" t="s">
        <v>577</v>
      </c>
      <c r="U8" s="87" t="s">
        <v>557</v>
      </c>
      <c r="V8" s="87" t="s">
        <v>558</v>
      </c>
    </row>
    <row r="9" spans="1:22" s="87" customFormat="1" x14ac:dyDescent="0.25">
      <c r="A9" s="143"/>
      <c r="B9" s="479" t="s">
        <v>215</v>
      </c>
      <c r="C9" s="479" t="s">
        <v>254</v>
      </c>
      <c r="D9" s="480" t="s">
        <v>297</v>
      </c>
      <c r="E9" s="226" t="s">
        <v>261</v>
      </c>
      <c r="F9" s="222">
        <v>340</v>
      </c>
      <c r="G9" s="223">
        <v>0.47</v>
      </c>
      <c r="H9" s="178">
        <v>740</v>
      </c>
      <c r="I9" s="178">
        <v>25</v>
      </c>
      <c r="J9" s="224">
        <v>0.108</v>
      </c>
      <c r="K9" s="182">
        <v>14</v>
      </c>
      <c r="L9" s="182">
        <v>41</v>
      </c>
      <c r="M9" s="223">
        <v>3.98</v>
      </c>
      <c r="N9" s="178">
        <v>40</v>
      </c>
      <c r="O9" s="185">
        <v>37.17</v>
      </c>
      <c r="P9" s="182">
        <v>194</v>
      </c>
      <c r="Q9" s="182">
        <v>30</v>
      </c>
      <c r="R9" s="225">
        <v>109.99</v>
      </c>
      <c r="S9" s="202" t="s">
        <v>379</v>
      </c>
      <c r="T9" s="87" t="s">
        <v>578</v>
      </c>
      <c r="U9" s="87" t="s">
        <v>559</v>
      </c>
      <c r="V9" s="87" t="s">
        <v>560</v>
      </c>
    </row>
    <row r="10" spans="1:22" s="95" customFormat="1" x14ac:dyDescent="0.25">
      <c r="A10" s="119"/>
      <c r="B10" s="120"/>
      <c r="C10" s="120"/>
      <c r="D10" s="96"/>
      <c r="E10" s="141"/>
      <c r="F10" s="122"/>
      <c r="G10" s="123"/>
      <c r="H10" s="124"/>
      <c r="I10" s="124"/>
      <c r="J10" s="125"/>
      <c r="K10" s="126"/>
      <c r="L10" s="126"/>
      <c r="M10" s="123"/>
      <c r="N10" s="124"/>
      <c r="O10" s="127"/>
      <c r="P10" s="126"/>
      <c r="Q10" s="126"/>
      <c r="R10" s="128"/>
      <c r="S10" s="121"/>
    </row>
    <row r="11" spans="1:22" s="87" customFormat="1" x14ac:dyDescent="0.25">
      <c r="A11" s="143"/>
      <c r="B11" s="220" t="s">
        <v>215</v>
      </c>
      <c r="C11" s="220" t="s">
        <v>263</v>
      </c>
      <c r="D11" s="221" t="s">
        <v>299</v>
      </c>
      <c r="E11" s="196">
        <v>6</v>
      </c>
      <c r="F11" s="222">
        <v>420</v>
      </c>
      <c r="G11" s="223">
        <v>0.91</v>
      </c>
      <c r="H11" s="178">
        <v>1500</v>
      </c>
      <c r="I11" s="290">
        <v>70</v>
      </c>
      <c r="J11" s="224">
        <v>3.4000000000000002E-2</v>
      </c>
      <c r="K11" s="182">
        <v>14</v>
      </c>
      <c r="L11" s="185">
        <v>78.400000000000006</v>
      </c>
      <c r="M11" s="223">
        <v>5.98</v>
      </c>
      <c r="N11" s="178">
        <v>40</v>
      </c>
      <c r="O11" s="185">
        <v>46.15</v>
      </c>
      <c r="P11" s="182">
        <v>288</v>
      </c>
      <c r="Q11" s="182">
        <v>80</v>
      </c>
      <c r="R11" s="225">
        <v>139.99</v>
      </c>
      <c r="S11" s="202" t="s">
        <v>379</v>
      </c>
    </row>
    <row r="12" spans="1:22" s="87" customFormat="1" x14ac:dyDescent="0.25">
      <c r="A12" s="143"/>
      <c r="B12" s="220" t="s">
        <v>215</v>
      </c>
      <c r="C12" s="220" t="s">
        <v>263</v>
      </c>
      <c r="D12" s="221" t="s">
        <v>300</v>
      </c>
      <c r="E12" s="196">
        <v>6</v>
      </c>
      <c r="F12" s="222">
        <v>540</v>
      </c>
      <c r="G12" s="223">
        <v>1.22</v>
      </c>
      <c r="H12" s="178">
        <v>1850</v>
      </c>
      <c r="I12" s="290">
        <v>85</v>
      </c>
      <c r="J12" s="224">
        <v>3.4000000000000002E-2</v>
      </c>
      <c r="K12" s="182">
        <v>14</v>
      </c>
      <c r="L12" s="185">
        <v>78.400000000000006</v>
      </c>
      <c r="M12" s="223">
        <v>5.98</v>
      </c>
      <c r="N12" s="178">
        <v>40</v>
      </c>
      <c r="O12" s="185">
        <v>46.15</v>
      </c>
      <c r="P12" s="182">
        <v>288</v>
      </c>
      <c r="Q12" s="182">
        <v>90</v>
      </c>
      <c r="R12" s="225">
        <v>139.99</v>
      </c>
      <c r="S12" s="202" t="s">
        <v>379</v>
      </c>
    </row>
    <row r="13" spans="1:22" s="87" customFormat="1" x14ac:dyDescent="0.25">
      <c r="A13" s="143"/>
      <c r="B13" s="220" t="s">
        <v>215</v>
      </c>
      <c r="C13" s="220" t="s">
        <v>263</v>
      </c>
      <c r="D13" s="221" t="s">
        <v>301</v>
      </c>
      <c r="E13" s="196">
        <v>5</v>
      </c>
      <c r="F13" s="222">
        <v>630</v>
      </c>
      <c r="G13" s="223">
        <v>1.54</v>
      </c>
      <c r="H13" s="178">
        <v>1500</v>
      </c>
      <c r="I13" s="290">
        <v>95</v>
      </c>
      <c r="J13" s="224">
        <v>3.4000000000000002E-2</v>
      </c>
      <c r="K13" s="182">
        <v>14</v>
      </c>
      <c r="L13" s="185">
        <v>78.400000000000006</v>
      </c>
      <c r="M13" s="223">
        <v>5.98</v>
      </c>
      <c r="N13" s="178">
        <v>40</v>
      </c>
      <c r="O13" s="185">
        <v>46.15</v>
      </c>
      <c r="P13" s="182">
        <v>288</v>
      </c>
      <c r="Q13" s="182">
        <v>100</v>
      </c>
      <c r="R13" s="225">
        <v>139.99</v>
      </c>
      <c r="S13" s="202" t="s">
        <v>379</v>
      </c>
    </row>
    <row r="14" spans="1:22" s="95" customFormat="1" x14ac:dyDescent="0.25">
      <c r="A14" s="119"/>
      <c r="B14" s="120"/>
      <c r="C14" s="120"/>
      <c r="D14" s="96"/>
      <c r="E14" s="141"/>
      <c r="F14" s="122"/>
      <c r="G14" s="123"/>
      <c r="H14" s="124"/>
      <c r="I14" s="124"/>
      <c r="J14" s="125"/>
      <c r="K14" s="126"/>
      <c r="L14" s="127"/>
      <c r="M14" s="123"/>
      <c r="N14" s="124"/>
      <c r="O14" s="127"/>
      <c r="P14" s="126"/>
      <c r="Q14" s="126"/>
      <c r="R14" s="128"/>
      <c r="S14" s="121"/>
    </row>
    <row r="15" spans="1:22" s="87" customFormat="1" x14ac:dyDescent="0.25">
      <c r="A15" s="143"/>
      <c r="B15" s="220" t="s">
        <v>215</v>
      </c>
      <c r="C15" s="220" t="s">
        <v>263</v>
      </c>
      <c r="D15" s="221" t="s">
        <v>302</v>
      </c>
      <c r="E15" s="196">
        <v>8</v>
      </c>
      <c r="F15" s="222">
        <v>330</v>
      </c>
      <c r="G15" s="223">
        <v>0.74</v>
      </c>
      <c r="H15" s="178">
        <v>2000</v>
      </c>
      <c r="I15" s="178">
        <v>75</v>
      </c>
      <c r="J15" s="224">
        <v>3.6999999999999998E-2</v>
      </c>
      <c r="K15" s="182">
        <v>14</v>
      </c>
      <c r="L15" s="182">
        <v>85</v>
      </c>
      <c r="M15" s="223">
        <v>5.98</v>
      </c>
      <c r="N15" s="178">
        <v>40</v>
      </c>
      <c r="O15" s="185">
        <v>54.1</v>
      </c>
      <c r="P15" s="227">
        <v>353</v>
      </c>
      <c r="Q15" s="182">
        <v>80</v>
      </c>
      <c r="R15" s="225">
        <v>149.99</v>
      </c>
      <c r="S15" s="202" t="s">
        <v>379</v>
      </c>
    </row>
    <row r="16" spans="1:22" s="87" customFormat="1" x14ac:dyDescent="0.25">
      <c r="A16" s="143"/>
      <c r="B16" s="220" t="s">
        <v>215</v>
      </c>
      <c r="C16" s="220" t="s">
        <v>263</v>
      </c>
      <c r="D16" s="221" t="s">
        <v>303</v>
      </c>
      <c r="E16" s="196">
        <v>7</v>
      </c>
      <c r="F16" s="222">
        <v>440</v>
      </c>
      <c r="G16" s="223">
        <v>1.1000000000000001</v>
      </c>
      <c r="H16" s="178">
        <v>2000</v>
      </c>
      <c r="I16" s="178">
        <v>85</v>
      </c>
      <c r="J16" s="224">
        <v>2.5000000000000001E-2</v>
      </c>
      <c r="K16" s="182">
        <v>14</v>
      </c>
      <c r="L16" s="182">
        <v>85</v>
      </c>
      <c r="M16" s="223">
        <v>5.98</v>
      </c>
      <c r="N16" s="178">
        <v>40</v>
      </c>
      <c r="O16" s="185">
        <v>54.1</v>
      </c>
      <c r="P16" s="227">
        <v>353</v>
      </c>
      <c r="Q16" s="182">
        <v>90</v>
      </c>
      <c r="R16" s="225">
        <v>149.99</v>
      </c>
      <c r="S16" s="202" t="s">
        <v>379</v>
      </c>
    </row>
    <row r="17" spans="1:22" s="87" customFormat="1" x14ac:dyDescent="0.25">
      <c r="A17" s="143"/>
      <c r="B17" s="220" t="s">
        <v>215</v>
      </c>
      <c r="C17" s="220" t="s">
        <v>263</v>
      </c>
      <c r="D17" s="221" t="s">
        <v>304</v>
      </c>
      <c r="E17" s="196">
        <v>6</v>
      </c>
      <c r="F17" s="222">
        <v>520</v>
      </c>
      <c r="G17" s="223">
        <v>1.4</v>
      </c>
      <c r="H17" s="178">
        <v>2000</v>
      </c>
      <c r="I17" s="178">
        <v>100</v>
      </c>
      <c r="J17" s="224">
        <v>1.6E-2</v>
      </c>
      <c r="K17" s="182">
        <v>14</v>
      </c>
      <c r="L17" s="182">
        <v>85</v>
      </c>
      <c r="M17" s="223">
        <v>5.98</v>
      </c>
      <c r="N17" s="178">
        <v>40</v>
      </c>
      <c r="O17" s="185">
        <v>54.1</v>
      </c>
      <c r="P17" s="227">
        <v>353</v>
      </c>
      <c r="Q17" s="182">
        <v>110</v>
      </c>
      <c r="R17" s="225">
        <v>149.99</v>
      </c>
      <c r="S17" s="202" t="s">
        <v>379</v>
      </c>
    </row>
    <row r="18" spans="1:22" s="95" customFormat="1" x14ac:dyDescent="0.25">
      <c r="A18" s="119"/>
      <c r="B18" s="120"/>
      <c r="C18" s="120"/>
      <c r="D18" s="96"/>
      <c r="E18" s="141"/>
      <c r="F18" s="122"/>
      <c r="G18" s="123"/>
      <c r="H18" s="124"/>
      <c r="I18" s="124"/>
      <c r="J18" s="125"/>
      <c r="K18" s="126"/>
      <c r="L18" s="126"/>
      <c r="M18" s="123"/>
      <c r="N18" s="124"/>
      <c r="O18" s="127"/>
      <c r="P18" s="126"/>
      <c r="Q18" s="126"/>
      <c r="R18" s="128"/>
      <c r="S18" s="121"/>
    </row>
    <row r="19" spans="1:22" s="87" customFormat="1" x14ac:dyDescent="0.25">
      <c r="A19" s="143"/>
      <c r="B19" s="220" t="s">
        <v>215</v>
      </c>
      <c r="C19" s="220" t="s">
        <v>263</v>
      </c>
      <c r="D19" s="221" t="s">
        <v>305</v>
      </c>
      <c r="E19" s="196">
        <v>12</v>
      </c>
      <c r="F19" s="222">
        <v>250</v>
      </c>
      <c r="G19" s="223">
        <v>0.69</v>
      </c>
      <c r="H19" s="178">
        <v>2700</v>
      </c>
      <c r="I19" s="178">
        <v>65</v>
      </c>
      <c r="J19" s="224">
        <v>3.6999999999999998E-2</v>
      </c>
      <c r="K19" s="182">
        <v>14</v>
      </c>
      <c r="L19" s="182">
        <v>95</v>
      </c>
      <c r="M19" s="223">
        <v>7.98</v>
      </c>
      <c r="N19" s="178">
        <v>40</v>
      </c>
      <c r="O19" s="185">
        <v>64.900000000000006</v>
      </c>
      <c r="P19" s="182">
        <v>450</v>
      </c>
      <c r="Q19" s="182">
        <v>70</v>
      </c>
      <c r="R19" s="142">
        <v>169.99</v>
      </c>
      <c r="S19" s="202" t="s">
        <v>379</v>
      </c>
    </row>
    <row r="20" spans="1:22" s="87" customFormat="1" x14ac:dyDescent="0.25">
      <c r="A20" s="143"/>
      <c r="B20" s="220" t="s">
        <v>215</v>
      </c>
      <c r="C20" s="220" t="s">
        <v>263</v>
      </c>
      <c r="D20" s="221" t="s">
        <v>306</v>
      </c>
      <c r="E20" s="196">
        <v>11</v>
      </c>
      <c r="F20" s="222">
        <v>330</v>
      </c>
      <c r="G20" s="223">
        <v>1.41</v>
      </c>
      <c r="H20" s="178">
        <v>2400</v>
      </c>
      <c r="I20" s="178">
        <v>65</v>
      </c>
      <c r="J20" s="224">
        <v>3.1E-2</v>
      </c>
      <c r="K20" s="182">
        <v>10</v>
      </c>
      <c r="L20" s="182">
        <v>95</v>
      </c>
      <c r="M20" s="223">
        <v>7.98</v>
      </c>
      <c r="N20" s="178">
        <v>40</v>
      </c>
      <c r="O20" s="185">
        <v>64.900000000000006</v>
      </c>
      <c r="P20" s="182">
        <v>435</v>
      </c>
      <c r="Q20" s="182">
        <v>70</v>
      </c>
      <c r="R20" s="142">
        <v>169.99</v>
      </c>
      <c r="S20" s="202" t="s">
        <v>379</v>
      </c>
    </row>
    <row r="21" spans="1:22" s="87" customFormat="1" x14ac:dyDescent="0.25">
      <c r="A21" s="143"/>
      <c r="B21" s="220" t="s">
        <v>215</v>
      </c>
      <c r="C21" s="220" t="s">
        <v>263</v>
      </c>
      <c r="D21" s="221" t="s">
        <v>307</v>
      </c>
      <c r="E21" s="196">
        <v>11</v>
      </c>
      <c r="F21" s="222">
        <v>380</v>
      </c>
      <c r="G21" s="223">
        <v>1.52</v>
      </c>
      <c r="H21" s="178">
        <v>2600</v>
      </c>
      <c r="I21" s="178">
        <v>70</v>
      </c>
      <c r="J21" s="224">
        <v>2.5000000000000001E-2</v>
      </c>
      <c r="K21" s="182">
        <v>10</v>
      </c>
      <c r="L21" s="182">
        <v>95</v>
      </c>
      <c r="M21" s="223">
        <v>7.98</v>
      </c>
      <c r="N21" s="178">
        <v>40</v>
      </c>
      <c r="O21" s="185">
        <v>64.900000000000006</v>
      </c>
      <c r="P21" s="182">
        <v>435</v>
      </c>
      <c r="Q21" s="182">
        <v>80</v>
      </c>
      <c r="R21" s="142">
        <v>169.99</v>
      </c>
      <c r="S21" s="202" t="s">
        <v>379</v>
      </c>
    </row>
    <row r="22" spans="1:22" s="87" customFormat="1" x14ac:dyDescent="0.25">
      <c r="A22" s="143"/>
      <c r="B22" s="220" t="s">
        <v>69</v>
      </c>
      <c r="C22" s="220" t="s">
        <v>70</v>
      </c>
      <c r="D22" s="221" t="s">
        <v>308</v>
      </c>
      <c r="E22" s="226" t="s">
        <v>71</v>
      </c>
      <c r="F22" s="222">
        <v>330</v>
      </c>
      <c r="G22" s="223">
        <v>1.1000000000000001</v>
      </c>
      <c r="H22" s="178">
        <v>750</v>
      </c>
      <c r="I22" s="178">
        <v>25</v>
      </c>
      <c r="J22" s="224">
        <v>8.5000000000000006E-2</v>
      </c>
      <c r="K22" s="182">
        <v>18</v>
      </c>
      <c r="L22" s="182">
        <v>14</v>
      </c>
      <c r="M22" s="182">
        <v>4</v>
      </c>
      <c r="N22" s="178">
        <v>44.8</v>
      </c>
      <c r="O22" s="185">
        <v>34.5</v>
      </c>
      <c r="P22" s="182">
        <v>149</v>
      </c>
      <c r="Q22" s="182">
        <v>30</v>
      </c>
      <c r="R22" s="142">
        <v>194.9</v>
      </c>
      <c r="S22" s="202" t="s">
        <v>377</v>
      </c>
    </row>
    <row r="23" spans="1:22" s="95" customFormat="1" x14ac:dyDescent="0.25">
      <c r="A23" s="119"/>
      <c r="B23" s="120"/>
      <c r="C23" s="120"/>
      <c r="D23" s="96"/>
      <c r="E23" s="141"/>
      <c r="F23" s="122"/>
      <c r="G23" s="123"/>
      <c r="H23" s="124"/>
      <c r="I23" s="124"/>
      <c r="J23" s="125"/>
      <c r="K23" s="126"/>
      <c r="L23" s="126"/>
      <c r="M23" s="126"/>
      <c r="N23" s="124"/>
      <c r="O23" s="127"/>
      <c r="P23" s="126"/>
      <c r="Q23" s="126"/>
      <c r="R23" s="128"/>
      <c r="S23" s="121"/>
    </row>
    <row r="24" spans="1:22" s="172" customFormat="1" x14ac:dyDescent="0.25">
      <c r="A24" s="187">
        <v>1</v>
      </c>
      <c r="B24" s="302" t="s">
        <v>69</v>
      </c>
      <c r="C24" s="302" t="s">
        <v>266</v>
      </c>
      <c r="D24" s="294" t="s">
        <v>378</v>
      </c>
      <c r="E24" s="303" t="s">
        <v>41</v>
      </c>
      <c r="F24" s="304">
        <v>700</v>
      </c>
      <c r="G24" s="305">
        <v>0.5</v>
      </c>
      <c r="H24" s="188">
        <v>500</v>
      </c>
      <c r="I24" s="188">
        <v>25</v>
      </c>
      <c r="J24" s="306">
        <v>0.05</v>
      </c>
      <c r="K24" s="307">
        <v>14</v>
      </c>
      <c r="L24" s="307" t="s">
        <v>42</v>
      </c>
      <c r="M24" s="307">
        <v>4</v>
      </c>
      <c r="N24" s="188">
        <v>41.8</v>
      </c>
      <c r="O24" s="308">
        <v>30.75</v>
      </c>
      <c r="P24" s="307">
        <v>97</v>
      </c>
      <c r="Q24" s="307">
        <v>30</v>
      </c>
      <c r="R24" s="309">
        <v>109.9</v>
      </c>
      <c r="S24" s="211" t="s">
        <v>612</v>
      </c>
      <c r="T24" s="172" t="s">
        <v>577</v>
      </c>
      <c r="U24" s="172" t="s">
        <v>548</v>
      </c>
      <c r="V24" s="172" t="s">
        <v>565</v>
      </c>
    </row>
    <row r="25" spans="1:22" s="87" customFormat="1" x14ac:dyDescent="0.25">
      <c r="A25" s="143"/>
      <c r="B25" s="220" t="s">
        <v>69</v>
      </c>
      <c r="C25" s="220" t="s">
        <v>266</v>
      </c>
      <c r="D25" s="221" t="s">
        <v>267</v>
      </c>
      <c r="E25" s="226" t="s">
        <v>261</v>
      </c>
      <c r="F25" s="222">
        <v>400</v>
      </c>
      <c r="G25" s="223">
        <v>0.3</v>
      </c>
      <c r="H25" s="484">
        <v>850</v>
      </c>
      <c r="I25" s="178">
        <v>30</v>
      </c>
      <c r="J25" s="224">
        <v>0.11600000000000001</v>
      </c>
      <c r="K25" s="182">
        <v>14</v>
      </c>
      <c r="L25" s="182" t="s">
        <v>42</v>
      </c>
      <c r="M25" s="182">
        <v>4</v>
      </c>
      <c r="N25" s="178">
        <v>42.5</v>
      </c>
      <c r="O25" s="185">
        <v>37.5</v>
      </c>
      <c r="P25" s="182">
        <v>156</v>
      </c>
      <c r="Q25" s="182">
        <v>35</v>
      </c>
      <c r="R25" s="225">
        <v>125.9</v>
      </c>
      <c r="S25" s="202" t="s">
        <v>377</v>
      </c>
      <c r="T25" s="293" t="s">
        <v>563</v>
      </c>
      <c r="U25" s="87" t="s">
        <v>556</v>
      </c>
    </row>
    <row r="26" spans="1:22" s="87" customFormat="1" x14ac:dyDescent="0.25">
      <c r="A26" s="143"/>
      <c r="B26" s="220" t="s">
        <v>69</v>
      </c>
      <c r="C26" s="220" t="s">
        <v>266</v>
      </c>
      <c r="D26" s="221" t="s">
        <v>268</v>
      </c>
      <c r="E26" s="226" t="s">
        <v>261</v>
      </c>
      <c r="F26" s="222">
        <v>420</v>
      </c>
      <c r="G26" s="223">
        <v>1.1000000000000001</v>
      </c>
      <c r="H26" s="280">
        <v>1180</v>
      </c>
      <c r="I26" s="178">
        <v>40</v>
      </c>
      <c r="J26" s="224">
        <v>3.3000000000000002E-2</v>
      </c>
      <c r="K26" s="182">
        <v>14</v>
      </c>
      <c r="L26" s="182" t="s">
        <v>42</v>
      </c>
      <c r="M26" s="182">
        <v>4</v>
      </c>
      <c r="N26" s="185">
        <v>60.7</v>
      </c>
      <c r="O26" s="185">
        <v>39.5</v>
      </c>
      <c r="P26" s="182">
        <v>255</v>
      </c>
      <c r="Q26" s="182">
        <v>40</v>
      </c>
      <c r="R26" s="225">
        <v>149.9</v>
      </c>
      <c r="S26" s="202" t="s">
        <v>377</v>
      </c>
    </row>
    <row r="27" spans="1:22" s="87" customFormat="1" x14ac:dyDescent="0.25">
      <c r="A27" s="143"/>
      <c r="B27" s="220" t="s">
        <v>69</v>
      </c>
      <c r="C27" s="220" t="s">
        <v>266</v>
      </c>
      <c r="D27" s="221" t="s">
        <v>269</v>
      </c>
      <c r="E27" s="226" t="s">
        <v>261</v>
      </c>
      <c r="F27" s="222">
        <v>490</v>
      </c>
      <c r="G27" s="223">
        <v>1.1000000000000001</v>
      </c>
      <c r="H27" s="280">
        <v>1300</v>
      </c>
      <c r="I27" s="178">
        <v>44</v>
      </c>
      <c r="J27" s="224">
        <v>2.1000000000000001E-2</v>
      </c>
      <c r="K27" s="182">
        <v>14</v>
      </c>
      <c r="L27" s="182" t="s">
        <v>42</v>
      </c>
      <c r="M27" s="182">
        <v>4</v>
      </c>
      <c r="N27" s="185">
        <v>60.7</v>
      </c>
      <c r="O27" s="185">
        <v>39.5</v>
      </c>
      <c r="P27" s="182">
        <v>258</v>
      </c>
      <c r="Q27" s="182">
        <v>44</v>
      </c>
      <c r="R27" s="225">
        <v>149.9</v>
      </c>
      <c r="S27" s="202" t="s">
        <v>377</v>
      </c>
    </row>
    <row r="28" spans="1:22" s="95" customFormat="1" x14ac:dyDescent="0.25">
      <c r="A28" s="119"/>
      <c r="B28" s="120"/>
      <c r="C28" s="120"/>
      <c r="D28" s="96"/>
      <c r="E28" s="141"/>
      <c r="F28" s="122"/>
      <c r="G28" s="123"/>
      <c r="H28" s="124"/>
      <c r="I28" s="124"/>
      <c r="J28" s="125"/>
      <c r="K28" s="126"/>
      <c r="L28" s="126"/>
      <c r="M28" s="126"/>
      <c r="N28" s="127"/>
      <c r="O28" s="127"/>
      <c r="P28" s="126"/>
      <c r="Q28" s="126"/>
      <c r="R28" s="128"/>
      <c r="S28" s="121"/>
    </row>
    <row r="29" spans="1:22" s="87" customFormat="1" x14ac:dyDescent="0.25">
      <c r="A29" s="143"/>
      <c r="B29" s="220" t="s">
        <v>69</v>
      </c>
      <c r="C29" s="220" t="s">
        <v>264</v>
      </c>
      <c r="D29" s="220" t="s">
        <v>270</v>
      </c>
      <c r="E29" s="279" t="s">
        <v>41</v>
      </c>
      <c r="F29" s="222">
        <v>740</v>
      </c>
      <c r="G29" s="223">
        <v>0.5</v>
      </c>
      <c r="H29" s="178">
        <v>500</v>
      </c>
      <c r="I29" s="178">
        <v>27</v>
      </c>
      <c r="J29" s="224">
        <v>0.13600000000000001</v>
      </c>
      <c r="K29" s="182">
        <v>24</v>
      </c>
      <c r="L29" s="182">
        <v>6</v>
      </c>
      <c r="M29" s="182">
        <v>4</v>
      </c>
      <c r="N29" s="178">
        <v>40</v>
      </c>
      <c r="O29" s="185">
        <v>24</v>
      </c>
      <c r="P29" s="182">
        <v>92</v>
      </c>
      <c r="Q29" s="182">
        <v>30</v>
      </c>
      <c r="R29" s="225">
        <v>82.9</v>
      </c>
      <c r="S29" s="202" t="s">
        <v>377</v>
      </c>
      <c r="T29" s="292" t="s">
        <v>564</v>
      </c>
    </row>
    <row r="30" spans="1:22" s="87" customFormat="1" x14ac:dyDescent="0.25">
      <c r="A30" s="143"/>
      <c r="B30" s="220" t="s">
        <v>69</v>
      </c>
      <c r="C30" s="220" t="s">
        <v>265</v>
      </c>
      <c r="D30" s="221" t="s">
        <v>271</v>
      </c>
      <c r="E30" s="226" t="s">
        <v>146</v>
      </c>
      <c r="F30" s="222">
        <v>360</v>
      </c>
      <c r="G30" s="223">
        <v>0.4</v>
      </c>
      <c r="H30" s="280">
        <v>330</v>
      </c>
      <c r="I30" s="178">
        <v>15</v>
      </c>
      <c r="J30" s="224">
        <v>0.188</v>
      </c>
      <c r="K30" s="182">
        <v>14</v>
      </c>
      <c r="L30" s="182">
        <v>10</v>
      </c>
      <c r="M30" s="182">
        <v>4</v>
      </c>
      <c r="N30" s="178">
        <v>35</v>
      </c>
      <c r="O30" s="185">
        <v>28.5</v>
      </c>
      <c r="P30" s="182">
        <v>97</v>
      </c>
      <c r="Q30" s="182">
        <v>20</v>
      </c>
      <c r="R30" s="225">
        <v>79.900000000000006</v>
      </c>
      <c r="S30" s="202" t="s">
        <v>377</v>
      </c>
    </row>
    <row r="31" spans="1:22" s="87" customFormat="1" x14ac:dyDescent="0.25">
      <c r="A31" s="143"/>
      <c r="B31" s="220" t="s">
        <v>69</v>
      </c>
      <c r="C31" s="220" t="s">
        <v>265</v>
      </c>
      <c r="D31" s="221" t="s">
        <v>272</v>
      </c>
      <c r="E31" s="279" t="s">
        <v>41</v>
      </c>
      <c r="F31" s="222">
        <v>630</v>
      </c>
      <c r="G31" s="223">
        <v>0.5</v>
      </c>
      <c r="H31" s="280">
        <v>495</v>
      </c>
      <c r="I31" s="178">
        <v>22</v>
      </c>
      <c r="J31" s="224">
        <v>6.5000000000000002E-2</v>
      </c>
      <c r="K31" s="182">
        <v>14</v>
      </c>
      <c r="L31" s="182">
        <v>10</v>
      </c>
      <c r="M31" s="182">
        <v>4</v>
      </c>
      <c r="N31" s="178">
        <v>35</v>
      </c>
      <c r="O31" s="185">
        <v>28.5</v>
      </c>
      <c r="P31" s="182">
        <v>97</v>
      </c>
      <c r="Q31" s="182">
        <v>25</v>
      </c>
      <c r="R31" s="225">
        <v>79.900000000000006</v>
      </c>
      <c r="S31" s="202" t="s">
        <v>377</v>
      </c>
    </row>
    <row r="32" spans="1:22" s="87" customFormat="1" x14ac:dyDescent="0.25">
      <c r="A32" s="143"/>
      <c r="B32" s="220" t="s">
        <v>69</v>
      </c>
      <c r="C32" s="220" t="s">
        <v>265</v>
      </c>
      <c r="D32" s="295" t="s">
        <v>273</v>
      </c>
      <c r="E32" s="279" t="s">
        <v>41</v>
      </c>
      <c r="F32" s="222">
        <v>700</v>
      </c>
      <c r="G32" s="223">
        <v>0.5</v>
      </c>
      <c r="H32" s="178">
        <v>555</v>
      </c>
      <c r="I32" s="178">
        <v>25</v>
      </c>
      <c r="J32" s="224">
        <v>0.05</v>
      </c>
      <c r="K32" s="182">
        <v>14</v>
      </c>
      <c r="L32" s="182">
        <v>10</v>
      </c>
      <c r="M32" s="182">
        <v>4</v>
      </c>
      <c r="N32" s="178">
        <v>35</v>
      </c>
      <c r="O32" s="185">
        <v>28.5</v>
      </c>
      <c r="P32" s="182">
        <v>97</v>
      </c>
      <c r="Q32" s="182">
        <v>25</v>
      </c>
      <c r="R32" s="225">
        <v>79.900000000000006</v>
      </c>
      <c r="S32" s="202" t="s">
        <v>377</v>
      </c>
      <c r="T32" s="87" t="s">
        <v>572</v>
      </c>
      <c r="U32" s="87" t="s">
        <v>548</v>
      </c>
      <c r="V32" s="87" t="s">
        <v>571</v>
      </c>
    </row>
    <row r="33" spans="1:23" s="95" customFormat="1" x14ac:dyDescent="0.25">
      <c r="A33" s="119"/>
      <c r="B33" s="120"/>
      <c r="C33" s="120"/>
      <c r="D33" s="96"/>
      <c r="E33" s="141"/>
      <c r="F33" s="122"/>
      <c r="G33" s="123"/>
      <c r="H33" s="124"/>
      <c r="I33" s="124"/>
      <c r="J33" s="125"/>
      <c r="K33" s="126"/>
      <c r="L33" s="126"/>
      <c r="M33" s="126"/>
      <c r="N33" s="124"/>
      <c r="O33" s="127"/>
      <c r="P33" s="126"/>
      <c r="Q33" s="126"/>
      <c r="R33" s="128"/>
      <c r="S33" s="121"/>
    </row>
    <row r="34" spans="1:23" s="87" customFormat="1" x14ac:dyDescent="0.25">
      <c r="A34" s="143"/>
      <c r="B34" s="220" t="s">
        <v>69</v>
      </c>
      <c r="C34" s="220" t="s">
        <v>265</v>
      </c>
      <c r="D34" s="221" t="s">
        <v>274</v>
      </c>
      <c r="E34" s="226" t="s">
        <v>71</v>
      </c>
      <c r="F34" s="222">
        <v>400</v>
      </c>
      <c r="G34" s="223">
        <v>0.3</v>
      </c>
      <c r="H34" s="280">
        <v>900</v>
      </c>
      <c r="I34" s="178">
        <v>30</v>
      </c>
      <c r="J34" s="224">
        <v>0.11600000000000001</v>
      </c>
      <c r="K34" s="182">
        <v>14</v>
      </c>
      <c r="L34" s="182">
        <v>15</v>
      </c>
      <c r="M34" s="182">
        <v>4</v>
      </c>
      <c r="N34" s="178">
        <v>35</v>
      </c>
      <c r="O34" s="185">
        <v>34.5</v>
      </c>
      <c r="P34" s="182">
        <v>183</v>
      </c>
      <c r="Q34" s="182">
        <v>30</v>
      </c>
      <c r="R34" s="225">
        <v>96.9</v>
      </c>
      <c r="S34" s="202" t="s">
        <v>377</v>
      </c>
    </row>
    <row r="35" spans="1:23" s="87" customFormat="1" x14ac:dyDescent="0.25">
      <c r="A35" s="143"/>
      <c r="B35" s="220" t="s">
        <v>69</v>
      </c>
      <c r="C35" s="220" t="s">
        <v>265</v>
      </c>
      <c r="D35" s="221" t="s">
        <v>275</v>
      </c>
      <c r="E35" s="226" t="s">
        <v>71</v>
      </c>
      <c r="F35" s="222">
        <v>400</v>
      </c>
      <c r="G35" s="223">
        <v>1.2</v>
      </c>
      <c r="H35" s="280">
        <v>1140</v>
      </c>
      <c r="I35" s="178">
        <v>38</v>
      </c>
      <c r="J35" s="224">
        <v>8.2000000000000003E-2</v>
      </c>
      <c r="K35" s="182">
        <v>14</v>
      </c>
      <c r="L35" s="182">
        <v>20</v>
      </c>
      <c r="M35" s="182">
        <v>4</v>
      </c>
      <c r="N35" s="178">
        <v>35</v>
      </c>
      <c r="O35" s="185">
        <v>42</v>
      </c>
      <c r="P35" s="182">
        <v>194</v>
      </c>
      <c r="Q35" s="182">
        <v>40</v>
      </c>
      <c r="R35" s="225">
        <v>109.9</v>
      </c>
      <c r="S35" s="202" t="s">
        <v>377</v>
      </c>
    </row>
    <row r="36" spans="1:23" s="95" customFormat="1" x14ac:dyDescent="0.25">
      <c r="A36" s="119"/>
      <c r="B36" s="120"/>
      <c r="C36" s="120"/>
      <c r="D36" s="96"/>
      <c r="E36" s="141"/>
      <c r="F36" s="122"/>
      <c r="G36" s="123"/>
      <c r="H36" s="124"/>
      <c r="I36" s="124"/>
      <c r="J36" s="125"/>
      <c r="K36" s="126"/>
      <c r="L36" s="126"/>
      <c r="M36" s="126"/>
      <c r="N36" s="124"/>
      <c r="O36" s="127"/>
      <c r="P36" s="126"/>
      <c r="Q36" s="126"/>
      <c r="R36" s="128"/>
      <c r="S36" s="121"/>
    </row>
    <row r="37" spans="1:23" s="87" customFormat="1" x14ac:dyDescent="0.25">
      <c r="A37" s="143"/>
      <c r="B37" s="220" t="s">
        <v>69</v>
      </c>
      <c r="C37" s="220" t="s">
        <v>265</v>
      </c>
      <c r="D37" s="221" t="s">
        <v>276</v>
      </c>
      <c r="E37" s="226" t="s">
        <v>71</v>
      </c>
      <c r="F37" s="222">
        <v>370</v>
      </c>
      <c r="G37" s="223">
        <v>0.8</v>
      </c>
      <c r="H37" s="280">
        <v>450</v>
      </c>
      <c r="I37" s="178">
        <v>20</v>
      </c>
      <c r="J37" s="224">
        <v>9.8000000000000004E-2</v>
      </c>
      <c r="K37" s="182">
        <v>24</v>
      </c>
      <c r="L37" s="182">
        <v>10</v>
      </c>
      <c r="M37" s="182">
        <v>4</v>
      </c>
      <c r="N37" s="178">
        <v>40</v>
      </c>
      <c r="O37" s="185">
        <v>30.5</v>
      </c>
      <c r="P37" s="182">
        <v>112</v>
      </c>
      <c r="Q37" s="182">
        <v>20</v>
      </c>
      <c r="R37" s="225">
        <v>86.9</v>
      </c>
      <c r="S37" s="202" t="s">
        <v>377</v>
      </c>
    </row>
    <row r="38" spans="1:23" s="87" customFormat="1" x14ac:dyDescent="0.25">
      <c r="A38" s="143"/>
      <c r="B38" s="482" t="s">
        <v>69</v>
      </c>
      <c r="C38" s="482" t="s">
        <v>265</v>
      </c>
      <c r="D38" s="483" t="s">
        <v>277</v>
      </c>
      <c r="E38" s="226" t="s">
        <v>71</v>
      </c>
      <c r="F38" s="222">
        <v>475</v>
      </c>
      <c r="G38" s="223">
        <v>0.8</v>
      </c>
      <c r="H38" s="178">
        <v>540</v>
      </c>
      <c r="I38" s="178">
        <v>30</v>
      </c>
      <c r="J38" s="224">
        <v>9.8000000000000004E-2</v>
      </c>
      <c r="K38" s="182">
        <v>24</v>
      </c>
      <c r="L38" s="182">
        <v>10</v>
      </c>
      <c r="M38" s="182">
        <v>4</v>
      </c>
      <c r="N38" s="178">
        <v>40</v>
      </c>
      <c r="O38" s="185">
        <v>30.5</v>
      </c>
      <c r="P38" s="182">
        <v>110</v>
      </c>
      <c r="Q38" s="182">
        <v>30</v>
      </c>
      <c r="R38" s="225">
        <v>86.9</v>
      </c>
      <c r="S38" s="202" t="s">
        <v>377</v>
      </c>
      <c r="T38" s="87" t="s">
        <v>575</v>
      </c>
      <c r="U38" s="87" t="s">
        <v>549</v>
      </c>
      <c r="V38" s="87" t="s">
        <v>550</v>
      </c>
      <c r="W38" s="87" t="s">
        <v>568</v>
      </c>
    </row>
    <row r="39" spans="1:23" s="87" customFormat="1" x14ac:dyDescent="0.25">
      <c r="A39" s="143"/>
      <c r="B39" s="220" t="s">
        <v>69</v>
      </c>
      <c r="C39" s="220" t="s">
        <v>265</v>
      </c>
      <c r="D39" s="221" t="s">
        <v>278</v>
      </c>
      <c r="E39" s="226" t="s">
        <v>71</v>
      </c>
      <c r="F39" s="222">
        <v>580</v>
      </c>
      <c r="G39" s="223">
        <v>1.3</v>
      </c>
      <c r="H39" s="178">
        <v>575</v>
      </c>
      <c r="I39" s="178">
        <v>31</v>
      </c>
      <c r="J39" s="224">
        <v>4.2000000000000003E-2</v>
      </c>
      <c r="K39" s="182">
        <v>24</v>
      </c>
      <c r="L39" s="182">
        <v>10</v>
      </c>
      <c r="M39" s="182">
        <v>4</v>
      </c>
      <c r="N39" s="178">
        <v>40</v>
      </c>
      <c r="O39" s="185">
        <v>30.5</v>
      </c>
      <c r="P39" s="182">
        <v>112</v>
      </c>
      <c r="Q39" s="182">
        <v>40</v>
      </c>
      <c r="R39" s="225">
        <v>86.9</v>
      </c>
      <c r="S39" s="202" t="s">
        <v>377</v>
      </c>
      <c r="T39" s="297" t="s">
        <v>574</v>
      </c>
      <c r="U39" s="87" t="s">
        <v>551</v>
      </c>
      <c r="V39" s="87" t="s">
        <v>552</v>
      </c>
      <c r="W39" s="87" t="s">
        <v>569</v>
      </c>
    </row>
    <row r="40" spans="1:23" s="95" customFormat="1" x14ac:dyDescent="0.25">
      <c r="A40" s="119"/>
      <c r="B40" s="120"/>
      <c r="C40" s="120"/>
      <c r="D40" s="96"/>
      <c r="E40" s="141"/>
      <c r="F40" s="122"/>
      <c r="G40" s="123"/>
      <c r="H40" s="124"/>
      <c r="I40" s="124"/>
      <c r="J40" s="125"/>
      <c r="K40" s="126"/>
      <c r="L40" s="126"/>
      <c r="M40" s="126"/>
      <c r="N40" s="124"/>
      <c r="O40" s="127"/>
      <c r="P40" s="126"/>
      <c r="Q40" s="126"/>
      <c r="R40" s="128"/>
      <c r="S40" s="121"/>
    </row>
    <row r="41" spans="1:23" s="87" customFormat="1" x14ac:dyDescent="0.25">
      <c r="A41" s="143"/>
      <c r="B41" s="482" t="s">
        <v>69</v>
      </c>
      <c r="C41" s="482" t="s">
        <v>265</v>
      </c>
      <c r="D41" s="483" t="s">
        <v>279</v>
      </c>
      <c r="E41" s="226" t="s">
        <v>71</v>
      </c>
      <c r="F41" s="222">
        <v>340</v>
      </c>
      <c r="G41" s="223">
        <v>0.9</v>
      </c>
      <c r="H41" s="178">
        <v>660</v>
      </c>
      <c r="I41" s="178">
        <v>22</v>
      </c>
      <c r="J41" s="224">
        <v>0.13300000000000001</v>
      </c>
      <c r="K41" s="182">
        <v>24</v>
      </c>
      <c r="L41" s="182">
        <v>12</v>
      </c>
      <c r="M41" s="182">
        <v>4</v>
      </c>
      <c r="N41" s="178">
        <v>40</v>
      </c>
      <c r="O41" s="185">
        <v>32.5</v>
      </c>
      <c r="P41" s="182">
        <v>131</v>
      </c>
      <c r="Q41" s="182">
        <v>30</v>
      </c>
      <c r="R41" s="225">
        <v>92.9</v>
      </c>
      <c r="S41" s="202" t="s">
        <v>377</v>
      </c>
      <c r="T41" s="297" t="s">
        <v>576</v>
      </c>
      <c r="U41" s="87" t="s">
        <v>553</v>
      </c>
      <c r="V41" s="87" t="s">
        <v>566</v>
      </c>
    </row>
    <row r="42" spans="1:23" s="87" customFormat="1" x14ac:dyDescent="0.25">
      <c r="A42" s="143"/>
      <c r="B42" s="220" t="s">
        <v>69</v>
      </c>
      <c r="C42" s="220" t="s">
        <v>265</v>
      </c>
      <c r="D42" s="221" t="s">
        <v>280</v>
      </c>
      <c r="E42" s="226" t="s">
        <v>71</v>
      </c>
      <c r="F42" s="222">
        <v>400</v>
      </c>
      <c r="G42" s="223">
        <v>1</v>
      </c>
      <c r="H42" s="484">
        <v>750</v>
      </c>
      <c r="I42" s="178">
        <v>25</v>
      </c>
      <c r="J42" s="224">
        <v>7.4999999999999997E-2</v>
      </c>
      <c r="K42" s="182">
        <v>24</v>
      </c>
      <c r="L42" s="182">
        <v>12</v>
      </c>
      <c r="M42" s="182">
        <v>4</v>
      </c>
      <c r="N42" s="178">
        <v>40</v>
      </c>
      <c r="O42" s="185">
        <v>32.5</v>
      </c>
      <c r="P42" s="182">
        <v>128</v>
      </c>
      <c r="Q42" s="182">
        <v>30</v>
      </c>
      <c r="R42" s="225">
        <v>92.9</v>
      </c>
      <c r="S42" s="202" t="s">
        <v>377</v>
      </c>
      <c r="T42" s="293" t="s">
        <v>563</v>
      </c>
      <c r="U42" s="87" t="s">
        <v>554</v>
      </c>
      <c r="V42" s="87" t="s">
        <v>567</v>
      </c>
    </row>
    <row r="43" spans="1:23" s="87" customFormat="1" x14ac:dyDescent="0.25">
      <c r="A43" s="143"/>
      <c r="B43" s="220" t="s">
        <v>69</v>
      </c>
      <c r="C43" s="220" t="s">
        <v>265</v>
      </c>
      <c r="D43" s="221" t="s">
        <v>281</v>
      </c>
      <c r="E43" s="226" t="s">
        <v>71</v>
      </c>
      <c r="F43" s="222">
        <v>480</v>
      </c>
      <c r="G43" s="223">
        <v>1.3</v>
      </c>
      <c r="H43" s="280">
        <v>870</v>
      </c>
      <c r="I43" s="178">
        <v>29</v>
      </c>
      <c r="J43" s="224">
        <v>5.7000000000000002E-2</v>
      </c>
      <c r="K43" s="182">
        <v>24</v>
      </c>
      <c r="L43" s="182">
        <v>12</v>
      </c>
      <c r="M43" s="182">
        <v>4</v>
      </c>
      <c r="N43" s="178">
        <v>40</v>
      </c>
      <c r="O43" s="185">
        <v>32.5</v>
      </c>
      <c r="P43" s="182">
        <v>134</v>
      </c>
      <c r="Q43" s="182">
        <v>30</v>
      </c>
      <c r="R43" s="225">
        <v>92.9</v>
      </c>
      <c r="S43" s="202" t="s">
        <v>377</v>
      </c>
    </row>
    <row r="44" spans="1:23" s="95" customFormat="1" x14ac:dyDescent="0.25">
      <c r="A44" s="119"/>
      <c r="B44" s="120"/>
      <c r="C44" s="120"/>
      <c r="D44" s="96"/>
      <c r="E44" s="141"/>
      <c r="F44" s="122"/>
      <c r="G44" s="123"/>
      <c r="H44" s="124"/>
      <c r="I44" s="124"/>
      <c r="J44" s="125"/>
      <c r="K44" s="126"/>
      <c r="L44" s="126"/>
      <c r="M44" s="126"/>
      <c r="N44" s="124"/>
      <c r="O44" s="127"/>
      <c r="P44" s="126"/>
      <c r="Q44" s="126"/>
      <c r="R44" s="128"/>
      <c r="S44" s="121"/>
    </row>
    <row r="45" spans="1:23" s="87" customFormat="1" x14ac:dyDescent="0.25">
      <c r="A45" s="143"/>
      <c r="B45" s="220" t="s">
        <v>69</v>
      </c>
      <c r="C45" s="220" t="s">
        <v>265</v>
      </c>
      <c r="D45" s="221" t="s">
        <v>282</v>
      </c>
      <c r="E45" s="226" t="s">
        <v>71</v>
      </c>
      <c r="F45" s="222">
        <v>330</v>
      </c>
      <c r="G45" s="223">
        <v>1.1000000000000001</v>
      </c>
      <c r="H45" s="484">
        <v>750</v>
      </c>
      <c r="I45" s="178">
        <v>25</v>
      </c>
      <c r="J45" s="224">
        <v>8.5000000000000006E-2</v>
      </c>
      <c r="K45" s="182">
        <v>24</v>
      </c>
      <c r="L45" s="182">
        <v>14</v>
      </c>
      <c r="M45" s="182">
        <v>4</v>
      </c>
      <c r="N45" s="178">
        <v>40</v>
      </c>
      <c r="O45" s="185">
        <v>34.5</v>
      </c>
      <c r="P45" s="182">
        <v>149</v>
      </c>
      <c r="Q45" s="182">
        <v>25</v>
      </c>
      <c r="R45" s="225">
        <v>96.9</v>
      </c>
      <c r="S45" s="202" t="s">
        <v>377</v>
      </c>
      <c r="T45" s="293" t="s">
        <v>563</v>
      </c>
      <c r="U45" s="87" t="s">
        <v>555</v>
      </c>
      <c r="V45" s="87" t="s">
        <v>570</v>
      </c>
    </row>
    <row r="46" spans="1:23" s="87" customFormat="1" x14ac:dyDescent="0.25">
      <c r="A46" s="143"/>
      <c r="B46" s="220" t="s">
        <v>69</v>
      </c>
      <c r="C46" s="220" t="s">
        <v>265</v>
      </c>
      <c r="D46" s="221" t="s">
        <v>283</v>
      </c>
      <c r="E46" s="226" t="s">
        <v>71</v>
      </c>
      <c r="F46" s="222">
        <v>400</v>
      </c>
      <c r="G46" s="223">
        <v>1.3</v>
      </c>
      <c r="H46" s="280">
        <v>900</v>
      </c>
      <c r="I46" s="178">
        <v>30</v>
      </c>
      <c r="J46" s="224">
        <v>6.7000000000000004E-2</v>
      </c>
      <c r="K46" s="182">
        <v>24</v>
      </c>
      <c r="L46" s="182">
        <v>14</v>
      </c>
      <c r="M46" s="182">
        <v>4</v>
      </c>
      <c r="N46" s="178">
        <v>40</v>
      </c>
      <c r="O46" s="185">
        <v>34.5</v>
      </c>
      <c r="P46" s="182">
        <v>150</v>
      </c>
      <c r="Q46" s="182">
        <v>30</v>
      </c>
      <c r="R46" s="225">
        <v>96.9</v>
      </c>
      <c r="S46" s="202" t="s">
        <v>377</v>
      </c>
    </row>
    <row r="47" spans="1:23" s="95" customFormat="1" x14ac:dyDescent="0.25">
      <c r="A47" s="119"/>
      <c r="B47" s="120"/>
      <c r="C47" s="120"/>
      <c r="D47" s="96"/>
      <c r="E47" s="141"/>
      <c r="F47" s="122"/>
      <c r="G47" s="123"/>
      <c r="H47" s="124"/>
      <c r="I47" s="124"/>
      <c r="J47" s="125"/>
      <c r="K47" s="126"/>
      <c r="L47" s="126"/>
      <c r="M47" s="126"/>
      <c r="N47" s="124"/>
      <c r="O47" s="127"/>
      <c r="P47" s="126"/>
      <c r="Q47" s="126"/>
      <c r="R47" s="128"/>
      <c r="S47" s="121"/>
    </row>
    <row r="48" spans="1:23" s="87" customFormat="1" x14ac:dyDescent="0.25">
      <c r="A48" s="143"/>
      <c r="B48" s="220" t="s">
        <v>69</v>
      </c>
      <c r="C48" s="220" t="s">
        <v>265</v>
      </c>
      <c r="D48" s="221" t="s">
        <v>284</v>
      </c>
      <c r="E48" s="226" t="s">
        <v>71</v>
      </c>
      <c r="F48" s="222">
        <v>400</v>
      </c>
      <c r="G48" s="223">
        <v>1.1200000000000001</v>
      </c>
      <c r="H48" s="178">
        <v>1050</v>
      </c>
      <c r="I48" s="290">
        <v>47</v>
      </c>
      <c r="J48" s="224">
        <v>0.03</v>
      </c>
      <c r="K48" s="182">
        <v>14</v>
      </c>
      <c r="L48" s="182">
        <v>20</v>
      </c>
      <c r="M48" s="182">
        <v>4</v>
      </c>
      <c r="N48" s="178">
        <v>41</v>
      </c>
      <c r="O48" s="185">
        <v>42</v>
      </c>
      <c r="P48" s="182">
        <v>253</v>
      </c>
      <c r="Q48" s="182">
        <v>50</v>
      </c>
      <c r="R48" s="225">
        <v>119.9</v>
      </c>
      <c r="S48" s="202" t="s">
        <v>377</v>
      </c>
    </row>
    <row r="49" spans="1:21" s="87" customFormat="1" x14ac:dyDescent="0.25">
      <c r="A49" s="143">
        <v>1</v>
      </c>
      <c r="B49" s="220" t="s">
        <v>69</v>
      </c>
      <c r="C49" s="220" t="s">
        <v>265</v>
      </c>
      <c r="D49" s="221" t="s">
        <v>285</v>
      </c>
      <c r="E49" s="226" t="s">
        <v>71</v>
      </c>
      <c r="F49" s="222">
        <v>465</v>
      </c>
      <c r="G49" s="223">
        <v>1.4</v>
      </c>
      <c r="H49" s="178">
        <v>1200</v>
      </c>
      <c r="I49" s="290">
        <v>50</v>
      </c>
      <c r="J49" s="224">
        <v>2.4E-2</v>
      </c>
      <c r="K49" s="182">
        <v>14</v>
      </c>
      <c r="L49" s="182">
        <v>20</v>
      </c>
      <c r="M49" s="182">
        <v>4</v>
      </c>
      <c r="N49" s="178">
        <v>41</v>
      </c>
      <c r="O49" s="185">
        <v>42</v>
      </c>
      <c r="P49" s="182">
        <v>253</v>
      </c>
      <c r="Q49" s="182">
        <v>50</v>
      </c>
      <c r="R49" s="225">
        <v>119.9</v>
      </c>
      <c r="S49" s="202" t="s">
        <v>377</v>
      </c>
    </row>
    <row r="50" spans="1:21" s="43" customFormat="1" x14ac:dyDescent="0.25">
      <c r="A50" s="39"/>
      <c r="B50" s="39"/>
      <c r="C50" s="39"/>
      <c r="D50" s="40"/>
      <c r="E50" s="40" t="s">
        <v>371</v>
      </c>
      <c r="F50" s="129">
        <f t="shared" ref="F50:P50" si="0">MIN(F48:F49,F45:F46,F41:F43,F37:F39,F34:F35,F25:F27,F11:F13,F8:F9)</f>
        <v>330</v>
      </c>
      <c r="G50" s="130">
        <f t="shared" si="0"/>
        <v>0.3</v>
      </c>
      <c r="H50" s="129">
        <f t="shared" si="0"/>
        <v>450</v>
      </c>
      <c r="I50" s="129">
        <f t="shared" si="0"/>
        <v>20</v>
      </c>
      <c r="J50" s="229">
        <f t="shared" si="0"/>
        <v>2.1000000000000001E-2</v>
      </c>
      <c r="K50" s="129">
        <f t="shared" si="0"/>
        <v>14</v>
      </c>
      <c r="L50" s="129">
        <f t="shared" si="0"/>
        <v>10</v>
      </c>
      <c r="M50" s="129">
        <f t="shared" si="0"/>
        <v>3.98</v>
      </c>
      <c r="N50" s="129">
        <f t="shared" si="0"/>
        <v>35</v>
      </c>
      <c r="O50" s="129">
        <f t="shared" si="0"/>
        <v>30.5</v>
      </c>
      <c r="P50" s="129">
        <f t="shared" si="0"/>
        <v>110</v>
      </c>
      <c r="Q50" s="129">
        <f>MIN(Q48:Q49,Q45:Q46,Q41:Q43,Q37:Q39,Q34:Q35,Q25:Q27,Q11:Q13,Q8:Q9)</f>
        <v>20</v>
      </c>
      <c r="R50" s="131">
        <f>MIN(R48:R49,R45:R46,R41:R43,R37:R39,R34:R35,R25:R27,R11:R13,R8:R9)</f>
        <v>86.9</v>
      </c>
      <c r="S50" s="118">
        <f ca="1">NOW()</f>
        <v>41834.848649884261</v>
      </c>
    </row>
    <row r="51" spans="1:21" s="43" customFormat="1" x14ac:dyDescent="0.25">
      <c r="B51" s="54"/>
      <c r="C51" s="87" t="s">
        <v>496</v>
      </c>
      <c r="D51" s="78"/>
      <c r="E51" s="78" t="s">
        <v>372</v>
      </c>
      <c r="F51" s="132">
        <f t="shared" ref="F51:P51" si="1">MAX(F48:F49,F45:F46,F41:F43,F37:F39,F34:F35,F25:F27,F11:F13,F8:F9)</f>
        <v>630</v>
      </c>
      <c r="G51" s="133">
        <f t="shared" si="1"/>
        <v>1.54</v>
      </c>
      <c r="H51" s="132">
        <f t="shared" si="1"/>
        <v>1850</v>
      </c>
      <c r="I51" s="132">
        <f t="shared" si="1"/>
        <v>95</v>
      </c>
      <c r="J51" s="230">
        <f t="shared" si="1"/>
        <v>0.152</v>
      </c>
      <c r="K51" s="132">
        <f t="shared" si="1"/>
        <v>24</v>
      </c>
      <c r="L51" s="132">
        <f t="shared" si="1"/>
        <v>78.400000000000006</v>
      </c>
      <c r="M51" s="132">
        <f t="shared" si="1"/>
        <v>5.98</v>
      </c>
      <c r="N51" s="132">
        <f t="shared" si="1"/>
        <v>60.7</v>
      </c>
      <c r="O51" s="132">
        <f t="shared" si="1"/>
        <v>46.15</v>
      </c>
      <c r="P51" s="132">
        <f t="shared" si="1"/>
        <v>288</v>
      </c>
      <c r="Q51" s="132">
        <f>MAX(Q48:Q49,Q45:Q46,Q41:Q43,Q37:Q39,Q34:Q35,Q25:Q27,Q11:Q13,Q8:Q9)</f>
        <v>100</v>
      </c>
      <c r="R51" s="134">
        <f>MAX(R48:R49,R45:R46,R41:R43,R37:R39,R34:R35,R25:R27,R11:R13,R8:R9)</f>
        <v>149.9</v>
      </c>
      <c r="S51"/>
      <c r="T51" s="58"/>
      <c r="U51" s="58"/>
    </row>
    <row r="52" spans="1:21" x14ac:dyDescent="0.25">
      <c r="C52" s="171" t="s">
        <v>502</v>
      </c>
      <c r="D52" s="78"/>
      <c r="E52" s="78" t="s">
        <v>373</v>
      </c>
      <c r="F52" s="135">
        <f t="shared" ref="F52:P52" si="2">AVERAGE(F48:F49,F45:F46,F41:F43,F37:F39,F34:F35,F25:F27,F11:F13,F8:F9)</f>
        <v>432</v>
      </c>
      <c r="G52" s="136">
        <f t="shared" si="2"/>
        <v>0.97499999999999998</v>
      </c>
      <c r="H52" s="135">
        <f t="shared" si="2"/>
        <v>960.75</v>
      </c>
      <c r="I52" s="135">
        <f t="shared" si="2"/>
        <v>39.450000000000003</v>
      </c>
      <c r="J52" s="231">
        <f t="shared" si="2"/>
        <v>7.195E-2</v>
      </c>
      <c r="K52" s="135">
        <f t="shared" si="2"/>
        <v>18</v>
      </c>
      <c r="L52" s="135">
        <f t="shared" si="2"/>
        <v>28.335294117647063</v>
      </c>
      <c r="M52" s="135">
        <f t="shared" si="2"/>
        <v>4.2950000000000008</v>
      </c>
      <c r="N52" s="135">
        <f t="shared" si="2"/>
        <v>41.795000000000002</v>
      </c>
      <c r="O52" s="135">
        <f t="shared" si="2"/>
        <v>37.139499999999991</v>
      </c>
      <c r="P52" s="135">
        <f t="shared" si="2"/>
        <v>189.4</v>
      </c>
      <c r="Q52" s="135">
        <f>AVERAGE(Q48:Q49,Q45:Q46,Q41:Q43,Q37:Q39,Q34:Q35,Q25:Q27,Q11:Q13,Q8:Q9)</f>
        <v>42.7</v>
      </c>
      <c r="R52" s="137">
        <f>AVERAGE(R48:R49,R45:R46,R41:R43,R37:R39,R34:R35,R25:R27,R11:R13,R8:R9)</f>
        <v>111.77249999999999</v>
      </c>
    </row>
    <row r="53" spans="1:21" x14ac:dyDescent="0.25">
      <c r="C53" s="173" t="s">
        <v>503</v>
      </c>
    </row>
    <row r="54" spans="1:21" x14ac:dyDescent="0.25">
      <c r="C54" s="228" t="s">
        <v>498</v>
      </c>
    </row>
    <row r="56" spans="1:21" x14ac:dyDescent="0.25">
      <c r="C56" s="87" t="s">
        <v>513</v>
      </c>
    </row>
    <row r="57" spans="1:21" x14ac:dyDescent="0.25">
      <c r="C57" s="235" t="s">
        <v>523</v>
      </c>
    </row>
    <row r="58" spans="1:21" x14ac:dyDescent="0.25">
      <c r="S58" t="s">
        <v>598</v>
      </c>
    </row>
    <row r="59" spans="1:21" x14ac:dyDescent="0.25">
      <c r="C59" s="87" t="s">
        <v>528</v>
      </c>
      <c r="S59" t="s">
        <v>140</v>
      </c>
      <c r="T59" t="s">
        <v>601</v>
      </c>
    </row>
    <row r="60" spans="1:21" x14ac:dyDescent="0.25">
      <c r="C60" t="s">
        <v>538</v>
      </c>
      <c r="S60" t="s">
        <v>599</v>
      </c>
      <c r="T60" t="s">
        <v>600</v>
      </c>
    </row>
    <row r="61" spans="1:21" x14ac:dyDescent="0.25">
      <c r="C61" s="277" t="s">
        <v>539</v>
      </c>
      <c r="D61" s="277"/>
      <c r="S61" t="s">
        <v>602</v>
      </c>
      <c r="T61" t="s">
        <v>601</v>
      </c>
    </row>
    <row r="62" spans="1:21" x14ac:dyDescent="0.25">
      <c r="S62" t="s">
        <v>136</v>
      </c>
      <c r="T62" t="s">
        <v>610</v>
      </c>
    </row>
    <row r="63" spans="1:21" x14ac:dyDescent="0.25">
      <c r="C63" s="87" t="s">
        <v>561</v>
      </c>
      <c r="D63" s="95"/>
      <c r="S63" t="s">
        <v>611</v>
      </c>
    </row>
    <row r="64" spans="1:21" x14ac:dyDescent="0.25">
      <c r="C64" s="291" t="s">
        <v>564</v>
      </c>
    </row>
    <row r="65" spans="3:3" x14ac:dyDescent="0.25">
      <c r="C65" s="293" t="s">
        <v>563</v>
      </c>
    </row>
    <row r="66" spans="3:3" x14ac:dyDescent="0.25">
      <c r="C66" s="296" t="s">
        <v>573</v>
      </c>
    </row>
    <row r="67" spans="3:3" x14ac:dyDescent="0.25">
      <c r="C67" s="297" t="s">
        <v>573</v>
      </c>
    </row>
    <row r="68" spans="3:3" x14ac:dyDescent="0.25">
      <c r="C68" s="481" t="s">
        <v>577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" r:id="rId22"/>
    <hyperlink ref="S3" r:id="rId23"/>
    <hyperlink ref="S4" r:id="rId24"/>
    <hyperlink ref="S5" r:id="rId25"/>
    <hyperlink ref="S6" r:id="rId26"/>
    <hyperlink ref="S9" r:id="rId27"/>
    <hyperlink ref="S11" r:id="rId28"/>
    <hyperlink ref="S12" r:id="rId29"/>
    <hyperlink ref="S13" r:id="rId30"/>
    <hyperlink ref="S15" r:id="rId31"/>
    <hyperlink ref="S16" r:id="rId32"/>
    <hyperlink ref="S17" r:id="rId33"/>
    <hyperlink ref="S19" r:id="rId34"/>
    <hyperlink ref="S20" r:id="rId35"/>
    <hyperlink ref="S21" r:id="rId36"/>
    <hyperlink ref="S24" r:id="rId37"/>
  </hyperlinks>
  <pageMargins left="0.7" right="0.7" top="0.75" bottom="0.75" header="0.3" footer="0.3"/>
  <pageSetup scale="59" orientation="portrait" horizontalDpi="4294967292" verticalDpi="4294967292" r:id="rId38"/>
  <extLst>
    <ext xmlns:mx="http://schemas.microsoft.com/office/mac/excel/2008/main" uri="{64002731-A6B0-56B0-2670-7721B7C09600}">
      <mx:PLV Mode="0" OnePage="0" WScale="10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"/>
  <sheetViews>
    <sheetView view="pageLayout" topLeftCell="A5" workbookViewId="0">
      <selection sqref="A1:K49"/>
    </sheetView>
  </sheetViews>
  <sheetFormatPr defaultColWidth="8.875" defaultRowHeight="15.75" x14ac:dyDescent="0.25"/>
  <cols>
    <col min="1" max="1" width="4.125" customWidth="1"/>
    <col min="2" max="2" width="9.875" bestFit="1" customWidth="1"/>
    <col min="3" max="3" width="14.875" bestFit="1" customWidth="1"/>
    <col min="4" max="4" width="12.375" bestFit="1" customWidth="1"/>
    <col min="5" max="7" width="4.625" bestFit="1" customWidth="1"/>
    <col min="8" max="8" width="4.875" bestFit="1" customWidth="1"/>
    <col min="9" max="9" width="4.875" customWidth="1"/>
    <col min="10" max="10" width="6.875" bestFit="1" customWidth="1"/>
    <col min="11" max="11" width="27.875" customWidth="1"/>
  </cols>
  <sheetData>
    <row r="1" spans="1:11" x14ac:dyDescent="0.25">
      <c r="A1" t="s">
        <v>369</v>
      </c>
    </row>
    <row r="2" spans="1:11" s="62" customFormat="1" ht="92.25" x14ac:dyDescent="0.25">
      <c r="A2" s="63" t="s">
        <v>27</v>
      </c>
      <c r="B2" s="63" t="s">
        <v>28</v>
      </c>
      <c r="C2" s="63" t="s">
        <v>216</v>
      </c>
      <c r="D2" s="63" t="s">
        <v>386</v>
      </c>
      <c r="E2" s="64" t="s">
        <v>217</v>
      </c>
      <c r="F2" s="64" t="s">
        <v>218</v>
      </c>
      <c r="G2" s="65" t="s">
        <v>31</v>
      </c>
      <c r="H2" s="64" t="s">
        <v>219</v>
      </c>
      <c r="I2" s="64" t="s">
        <v>540</v>
      </c>
      <c r="J2" s="66" t="s">
        <v>220</v>
      </c>
      <c r="K2" s="66" t="s">
        <v>14</v>
      </c>
    </row>
    <row r="3" spans="1:11" s="87" customFormat="1" x14ac:dyDescent="0.25">
      <c r="A3" s="143"/>
      <c r="B3" s="220" t="s">
        <v>385</v>
      </c>
      <c r="C3" s="220" t="s">
        <v>390</v>
      </c>
      <c r="D3" s="220" t="s">
        <v>392</v>
      </c>
      <c r="E3" s="204">
        <v>30</v>
      </c>
      <c r="F3" s="204">
        <v>40</v>
      </c>
      <c r="G3" s="243" t="s">
        <v>141</v>
      </c>
      <c r="H3" s="199">
        <v>25</v>
      </c>
      <c r="I3" s="199"/>
      <c r="J3" s="244">
        <v>19.989999999999998</v>
      </c>
      <c r="K3" s="245" t="s">
        <v>429</v>
      </c>
    </row>
    <row r="4" spans="1:11" s="87" customFormat="1" x14ac:dyDescent="0.25">
      <c r="A4" s="143"/>
      <c r="B4" s="220" t="s">
        <v>385</v>
      </c>
      <c r="C4" s="220" t="s">
        <v>391</v>
      </c>
      <c r="D4" s="220" t="s">
        <v>392</v>
      </c>
      <c r="E4" s="298">
        <v>40</v>
      </c>
      <c r="F4" s="204">
        <v>60</v>
      </c>
      <c r="G4" s="243" t="s">
        <v>346</v>
      </c>
      <c r="H4" s="199">
        <v>35</v>
      </c>
      <c r="I4" s="199"/>
      <c r="J4" s="244">
        <v>28.5</v>
      </c>
      <c r="K4" s="245" t="s">
        <v>429</v>
      </c>
    </row>
    <row r="5" spans="1:11" s="87" customFormat="1" x14ac:dyDescent="0.25">
      <c r="A5" s="143"/>
      <c r="B5" s="220" t="s">
        <v>385</v>
      </c>
      <c r="C5" s="220" t="s">
        <v>388</v>
      </c>
      <c r="D5" s="220" t="s">
        <v>387</v>
      </c>
      <c r="E5" s="204">
        <v>30</v>
      </c>
      <c r="F5" s="204">
        <v>45</v>
      </c>
      <c r="G5" s="243" t="s">
        <v>346</v>
      </c>
      <c r="H5" s="204">
        <v>31.6</v>
      </c>
      <c r="I5" s="204"/>
      <c r="J5" s="244">
        <v>26</v>
      </c>
      <c r="K5" s="247" t="s">
        <v>389</v>
      </c>
    </row>
    <row r="6" spans="1:11" x14ac:dyDescent="0.25">
      <c r="A6" s="108"/>
      <c r="B6" s="144"/>
      <c r="C6" s="144"/>
      <c r="D6" s="144"/>
      <c r="E6" s="117"/>
      <c r="F6" s="117"/>
      <c r="G6" s="145"/>
      <c r="H6" s="113"/>
      <c r="I6" s="113"/>
      <c r="J6" s="146"/>
      <c r="K6" s="148"/>
    </row>
    <row r="7" spans="1:11" s="87" customFormat="1" x14ac:dyDescent="0.25">
      <c r="A7" s="143"/>
      <c r="B7" s="220" t="s">
        <v>393</v>
      </c>
      <c r="C7" s="220" t="s">
        <v>394</v>
      </c>
      <c r="D7" s="220" t="s">
        <v>387</v>
      </c>
      <c r="E7" s="204">
        <v>30</v>
      </c>
      <c r="F7" s="204">
        <v>40</v>
      </c>
      <c r="G7" s="243" t="s">
        <v>141</v>
      </c>
      <c r="H7" s="199">
        <v>27</v>
      </c>
      <c r="I7" s="199"/>
      <c r="J7" s="244">
        <v>30</v>
      </c>
      <c r="K7" s="247" t="s">
        <v>398</v>
      </c>
    </row>
    <row r="8" spans="1:11" s="87" customFormat="1" x14ac:dyDescent="0.25">
      <c r="A8" s="143"/>
      <c r="B8" s="220" t="s">
        <v>393</v>
      </c>
      <c r="C8" s="220" t="s">
        <v>395</v>
      </c>
      <c r="D8" s="220" t="s">
        <v>387</v>
      </c>
      <c r="E8" s="204">
        <v>35</v>
      </c>
      <c r="F8" s="204">
        <v>50</v>
      </c>
      <c r="G8" s="243" t="s">
        <v>141</v>
      </c>
      <c r="H8" s="199">
        <v>27</v>
      </c>
      <c r="I8" s="199"/>
      <c r="J8" s="244">
        <v>30</v>
      </c>
      <c r="K8" s="247" t="s">
        <v>399</v>
      </c>
    </row>
    <row r="9" spans="1:11" s="87" customFormat="1" x14ac:dyDescent="0.25">
      <c r="A9" s="143"/>
      <c r="B9" s="220" t="s">
        <v>393</v>
      </c>
      <c r="C9" s="220" t="s">
        <v>396</v>
      </c>
      <c r="D9" s="220" t="s">
        <v>387</v>
      </c>
      <c r="E9" s="298">
        <v>40</v>
      </c>
      <c r="F9" s="204">
        <v>60</v>
      </c>
      <c r="G9" s="243" t="s">
        <v>346</v>
      </c>
      <c r="H9" s="199">
        <v>35</v>
      </c>
      <c r="I9" s="199"/>
      <c r="J9" s="244">
        <v>37</v>
      </c>
      <c r="K9" s="247" t="s">
        <v>400</v>
      </c>
    </row>
    <row r="10" spans="1:11" s="87" customFormat="1" x14ac:dyDescent="0.25">
      <c r="A10" s="143"/>
      <c r="B10" s="220" t="s">
        <v>393</v>
      </c>
      <c r="C10" s="220" t="s">
        <v>397</v>
      </c>
      <c r="D10" s="220" t="s">
        <v>387</v>
      </c>
      <c r="E10" s="248">
        <v>60</v>
      </c>
      <c r="F10" s="204">
        <v>80</v>
      </c>
      <c r="G10" s="243" t="s">
        <v>346</v>
      </c>
      <c r="H10" s="199">
        <v>51</v>
      </c>
      <c r="I10" s="199"/>
      <c r="J10" s="244">
        <v>60</v>
      </c>
      <c r="K10" s="247" t="s">
        <v>401</v>
      </c>
    </row>
    <row r="11" spans="1:11" x14ac:dyDescent="0.25">
      <c r="A11" s="108"/>
      <c r="B11" s="144"/>
      <c r="C11" s="144"/>
      <c r="D11" s="144"/>
      <c r="E11" s="117"/>
      <c r="F11" s="117"/>
      <c r="G11" s="145"/>
      <c r="H11" s="113"/>
      <c r="I11" s="113"/>
      <c r="J11" s="146"/>
      <c r="K11" s="148"/>
    </row>
    <row r="12" spans="1:11" s="87" customFormat="1" x14ac:dyDescent="0.25">
      <c r="A12" s="143"/>
      <c r="B12" s="220" t="s">
        <v>265</v>
      </c>
      <c r="C12" s="220" t="s">
        <v>402</v>
      </c>
      <c r="D12" s="220" t="s">
        <v>392</v>
      </c>
      <c r="E12" s="204">
        <v>30</v>
      </c>
      <c r="F12" s="204">
        <v>40</v>
      </c>
      <c r="G12" s="243" t="s">
        <v>141</v>
      </c>
      <c r="H12" s="199">
        <v>25</v>
      </c>
      <c r="I12" s="199"/>
      <c r="J12" s="244">
        <v>28.99</v>
      </c>
      <c r="K12" s="247" t="s">
        <v>407</v>
      </c>
    </row>
    <row r="13" spans="1:11" s="172" customFormat="1" x14ac:dyDescent="0.25">
      <c r="A13" s="187">
        <v>1</v>
      </c>
      <c r="B13" s="302" t="s">
        <v>265</v>
      </c>
      <c r="C13" s="302" t="s">
        <v>585</v>
      </c>
      <c r="D13" s="302" t="s">
        <v>412</v>
      </c>
      <c r="E13" s="209">
        <v>35</v>
      </c>
      <c r="F13" s="209">
        <v>45</v>
      </c>
      <c r="G13" s="321" t="s">
        <v>346</v>
      </c>
      <c r="H13" s="208">
        <v>30</v>
      </c>
      <c r="I13" s="208" t="s">
        <v>583</v>
      </c>
      <c r="J13" s="322">
        <v>29.99</v>
      </c>
      <c r="K13" s="336" t="s">
        <v>612</v>
      </c>
    </row>
    <row r="14" spans="1:11" s="87" customFormat="1" x14ac:dyDescent="0.25">
      <c r="A14" s="143"/>
      <c r="B14" s="220" t="s">
        <v>265</v>
      </c>
      <c r="C14" s="220" t="s">
        <v>403</v>
      </c>
      <c r="D14" s="220" t="s">
        <v>412</v>
      </c>
      <c r="E14" s="204">
        <v>30</v>
      </c>
      <c r="F14" s="204">
        <v>40</v>
      </c>
      <c r="G14" s="243" t="s">
        <v>346</v>
      </c>
      <c r="H14" s="199">
        <v>31</v>
      </c>
      <c r="I14" s="199"/>
      <c r="J14" s="299">
        <v>49.99</v>
      </c>
      <c r="K14" s="245" t="s">
        <v>408</v>
      </c>
    </row>
    <row r="15" spans="1:11" s="87" customFormat="1" x14ac:dyDescent="0.25">
      <c r="A15" s="143"/>
      <c r="B15" s="220" t="s">
        <v>265</v>
      </c>
      <c r="C15" s="220" t="s">
        <v>404</v>
      </c>
      <c r="D15" s="220" t="s">
        <v>392</v>
      </c>
      <c r="E15" s="298">
        <v>40</v>
      </c>
      <c r="F15" s="204">
        <v>60</v>
      </c>
      <c r="G15" s="243" t="s">
        <v>346</v>
      </c>
      <c r="H15" s="199">
        <v>35</v>
      </c>
      <c r="I15" s="199"/>
      <c r="J15" s="244">
        <v>45.99</v>
      </c>
      <c r="K15" s="245" t="s">
        <v>409</v>
      </c>
    </row>
    <row r="16" spans="1:11" s="87" customFormat="1" x14ac:dyDescent="0.25">
      <c r="A16" s="143"/>
      <c r="B16" s="220" t="s">
        <v>265</v>
      </c>
      <c r="C16" s="220" t="s">
        <v>405</v>
      </c>
      <c r="D16" s="220" t="s">
        <v>42</v>
      </c>
      <c r="E16" s="298">
        <v>40</v>
      </c>
      <c r="F16" s="204">
        <v>60</v>
      </c>
      <c r="G16" s="243" t="s">
        <v>346</v>
      </c>
      <c r="H16" s="199">
        <v>29</v>
      </c>
      <c r="I16" s="199"/>
      <c r="J16" s="244">
        <v>55.99</v>
      </c>
      <c r="K16" s="247" t="s">
        <v>410</v>
      </c>
    </row>
    <row r="17" spans="1:21" s="95" customFormat="1" x14ac:dyDescent="0.25">
      <c r="A17" s="187"/>
      <c r="B17" s="220" t="s">
        <v>265</v>
      </c>
      <c r="C17" s="220" t="s">
        <v>582</v>
      </c>
      <c r="D17" s="220" t="s">
        <v>412</v>
      </c>
      <c r="E17" s="298">
        <v>45</v>
      </c>
      <c r="F17" s="204">
        <v>55</v>
      </c>
      <c r="G17" s="243" t="s">
        <v>346</v>
      </c>
      <c r="H17" s="199">
        <v>45</v>
      </c>
      <c r="I17" s="199" t="s">
        <v>583</v>
      </c>
      <c r="J17" s="244">
        <v>39.99</v>
      </c>
      <c r="K17" s="247" t="s">
        <v>584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</row>
    <row r="18" spans="1:21" s="87" customFormat="1" x14ac:dyDescent="0.25">
      <c r="A18" s="143"/>
      <c r="B18" s="220" t="s">
        <v>265</v>
      </c>
      <c r="C18" s="220" t="s">
        <v>406</v>
      </c>
      <c r="D18" s="220" t="s">
        <v>392</v>
      </c>
      <c r="E18" s="248">
        <v>60</v>
      </c>
      <c r="F18" s="204">
        <v>80</v>
      </c>
      <c r="G18" s="243" t="s">
        <v>346</v>
      </c>
      <c r="H18" s="199">
        <v>60</v>
      </c>
      <c r="I18" s="199"/>
      <c r="J18" s="244">
        <v>59.99</v>
      </c>
      <c r="K18" s="247" t="s">
        <v>411</v>
      </c>
    </row>
    <row r="19" spans="1:21" x14ac:dyDescent="0.25">
      <c r="A19" s="108"/>
      <c r="B19" s="144"/>
      <c r="C19" s="144"/>
      <c r="D19" s="144"/>
      <c r="E19" s="117"/>
      <c r="F19" s="117"/>
      <c r="G19" s="145"/>
      <c r="H19" s="113"/>
      <c r="I19" s="113"/>
      <c r="J19" s="146"/>
      <c r="K19" s="148"/>
    </row>
    <row r="20" spans="1:21" s="87" customFormat="1" x14ac:dyDescent="0.25">
      <c r="A20" s="143"/>
      <c r="B20" s="286" t="s">
        <v>40</v>
      </c>
      <c r="C20" s="220" t="s">
        <v>421</v>
      </c>
      <c r="D20" s="220" t="s">
        <v>414</v>
      </c>
      <c r="E20" s="204">
        <v>20</v>
      </c>
      <c r="F20" s="204" t="s">
        <v>42</v>
      </c>
      <c r="G20" s="243" t="s">
        <v>141</v>
      </c>
      <c r="H20" s="199">
        <v>25</v>
      </c>
      <c r="I20" s="199"/>
      <c r="J20" s="244">
        <v>10.55</v>
      </c>
      <c r="K20" s="245" t="s">
        <v>425</v>
      </c>
    </row>
    <row r="21" spans="1:21" s="87" customFormat="1" x14ac:dyDescent="0.25">
      <c r="A21" s="143"/>
      <c r="B21" s="286" t="s">
        <v>40</v>
      </c>
      <c r="C21" s="220" t="s">
        <v>422</v>
      </c>
      <c r="D21" s="220" t="s">
        <v>387</v>
      </c>
      <c r="E21" s="204">
        <v>30</v>
      </c>
      <c r="F21" s="204" t="s">
        <v>42</v>
      </c>
      <c r="G21" s="243" t="s">
        <v>141</v>
      </c>
      <c r="H21" s="199">
        <v>32</v>
      </c>
      <c r="I21" s="199"/>
      <c r="J21" s="244">
        <v>11.29</v>
      </c>
      <c r="K21" s="245" t="s">
        <v>426</v>
      </c>
    </row>
    <row r="22" spans="1:21" s="87" customFormat="1" x14ac:dyDescent="0.25">
      <c r="A22" s="143"/>
      <c r="B22" s="286" t="s">
        <v>40</v>
      </c>
      <c r="C22" s="220" t="s">
        <v>423</v>
      </c>
      <c r="D22" s="220" t="s">
        <v>387</v>
      </c>
      <c r="E22" s="204">
        <v>45</v>
      </c>
      <c r="F22" s="204" t="s">
        <v>42</v>
      </c>
      <c r="G22" s="243" t="s">
        <v>346</v>
      </c>
      <c r="H22" s="199">
        <v>63</v>
      </c>
      <c r="I22" s="199"/>
      <c r="J22" s="244">
        <v>19.46</v>
      </c>
      <c r="K22" s="245" t="s">
        <v>427</v>
      </c>
    </row>
    <row r="23" spans="1:21" s="87" customFormat="1" x14ac:dyDescent="0.25">
      <c r="A23" s="143"/>
      <c r="B23" s="220" t="s">
        <v>40</v>
      </c>
      <c r="C23" s="220" t="s">
        <v>424</v>
      </c>
      <c r="D23" s="220" t="s">
        <v>387</v>
      </c>
      <c r="E23" s="248">
        <v>60</v>
      </c>
      <c r="F23" s="204" t="s">
        <v>42</v>
      </c>
      <c r="G23" s="243" t="s">
        <v>346</v>
      </c>
      <c r="H23" s="199">
        <v>62</v>
      </c>
      <c r="I23" s="199"/>
      <c r="J23" s="244">
        <v>22.12</v>
      </c>
      <c r="K23" s="245" t="s">
        <v>428</v>
      </c>
    </row>
    <row r="24" spans="1:21" x14ac:dyDescent="0.25">
      <c r="A24" s="108"/>
      <c r="B24" s="144"/>
      <c r="C24" s="144"/>
      <c r="D24" s="144"/>
      <c r="E24" s="117"/>
      <c r="F24" s="117"/>
      <c r="G24" s="145"/>
      <c r="H24" s="113"/>
      <c r="I24" s="113"/>
      <c r="J24" s="146"/>
      <c r="K24" s="147"/>
    </row>
    <row r="25" spans="1:21" s="87" customFormat="1" x14ac:dyDescent="0.25">
      <c r="A25" s="143"/>
      <c r="B25" s="286" t="s">
        <v>40</v>
      </c>
      <c r="C25" s="220" t="s">
        <v>341</v>
      </c>
      <c r="D25" s="220" t="s">
        <v>413</v>
      </c>
      <c r="E25" s="204">
        <v>25</v>
      </c>
      <c r="F25" s="281" t="s">
        <v>343</v>
      </c>
      <c r="G25" s="282" t="s">
        <v>141</v>
      </c>
      <c r="H25" s="283">
        <v>22</v>
      </c>
      <c r="I25" s="283"/>
      <c r="J25" s="284">
        <v>13.44</v>
      </c>
      <c r="K25" s="285" t="s">
        <v>344</v>
      </c>
    </row>
    <row r="26" spans="1:21" s="87" customFormat="1" x14ac:dyDescent="0.25">
      <c r="A26" s="143"/>
      <c r="B26" s="286" t="s">
        <v>40</v>
      </c>
      <c r="C26" s="220" t="s">
        <v>240</v>
      </c>
      <c r="D26" s="220" t="s">
        <v>413</v>
      </c>
      <c r="E26" s="204">
        <v>30</v>
      </c>
      <c r="F26" s="204">
        <v>40</v>
      </c>
      <c r="G26" s="243" t="s">
        <v>141</v>
      </c>
      <c r="H26" s="199">
        <v>25</v>
      </c>
      <c r="I26" s="199"/>
      <c r="J26" s="244">
        <v>13.13</v>
      </c>
      <c r="K26" s="245" t="s">
        <v>345</v>
      </c>
    </row>
    <row r="27" spans="1:21" s="87" customFormat="1" x14ac:dyDescent="0.25">
      <c r="A27" s="143"/>
      <c r="B27" s="286" t="s">
        <v>40</v>
      </c>
      <c r="C27" s="220" t="s">
        <v>239</v>
      </c>
      <c r="D27" s="220" t="s">
        <v>413</v>
      </c>
      <c r="E27" s="204">
        <v>40</v>
      </c>
      <c r="F27" s="204">
        <v>55</v>
      </c>
      <c r="G27" s="243" t="s">
        <v>346</v>
      </c>
      <c r="H27" s="199">
        <v>33</v>
      </c>
      <c r="I27" s="199"/>
      <c r="J27" s="244">
        <v>21.99</v>
      </c>
      <c r="K27" s="245" t="s">
        <v>347</v>
      </c>
    </row>
    <row r="28" spans="1:21" s="246" customFormat="1" x14ac:dyDescent="0.25">
      <c r="A28" s="143"/>
      <c r="B28" s="220" t="s">
        <v>40</v>
      </c>
      <c r="C28" s="220" t="s">
        <v>342</v>
      </c>
      <c r="D28" s="220" t="s">
        <v>414</v>
      </c>
      <c r="E28" s="248">
        <v>60</v>
      </c>
      <c r="F28" s="204">
        <v>80</v>
      </c>
      <c r="G28" s="243" t="s">
        <v>346</v>
      </c>
      <c r="H28" s="199">
        <v>60</v>
      </c>
      <c r="I28" s="199"/>
      <c r="J28" s="244">
        <v>34.880000000000003</v>
      </c>
      <c r="K28" s="245" t="s">
        <v>348</v>
      </c>
    </row>
    <row r="29" spans="1:21" s="43" customFormat="1" x14ac:dyDescent="0.25">
      <c r="A29" s="108"/>
      <c r="B29" s="144"/>
      <c r="C29" s="144"/>
      <c r="D29" s="144"/>
      <c r="E29" s="117"/>
      <c r="F29" s="117"/>
      <c r="G29" s="145"/>
      <c r="H29" s="113"/>
      <c r="I29" s="113"/>
      <c r="J29" s="146"/>
      <c r="K29" s="147"/>
    </row>
    <row r="30" spans="1:21" s="87" customFormat="1" x14ac:dyDescent="0.25">
      <c r="A30" s="143"/>
      <c r="B30" s="286" t="s">
        <v>40</v>
      </c>
      <c r="C30" s="220" t="s">
        <v>417</v>
      </c>
      <c r="D30" s="220" t="s">
        <v>413</v>
      </c>
      <c r="E30" s="204">
        <v>45</v>
      </c>
      <c r="F30" s="204">
        <v>65</v>
      </c>
      <c r="G30" s="243" t="s">
        <v>346</v>
      </c>
      <c r="H30" s="199">
        <v>40</v>
      </c>
      <c r="I30" s="199"/>
      <c r="J30" s="244">
        <v>39.19</v>
      </c>
      <c r="K30" s="245" t="s">
        <v>418</v>
      </c>
    </row>
    <row r="31" spans="1:21" s="87" customFormat="1" x14ac:dyDescent="0.25">
      <c r="A31" s="143"/>
      <c r="B31" s="220" t="s">
        <v>40</v>
      </c>
      <c r="C31" s="220" t="s">
        <v>416</v>
      </c>
      <c r="D31" s="220" t="s">
        <v>414</v>
      </c>
      <c r="E31" s="248">
        <v>60</v>
      </c>
      <c r="F31" s="204">
        <v>70</v>
      </c>
      <c r="G31" s="243" t="s">
        <v>346</v>
      </c>
      <c r="H31" s="199">
        <v>50</v>
      </c>
      <c r="I31" s="199"/>
      <c r="J31" s="244">
        <v>49.99</v>
      </c>
      <c r="K31" s="245" t="s">
        <v>420</v>
      </c>
    </row>
    <row r="32" spans="1:21" s="87" customFormat="1" x14ac:dyDescent="0.25">
      <c r="A32" s="143">
        <v>1</v>
      </c>
      <c r="B32" s="220" t="s">
        <v>40</v>
      </c>
      <c r="C32" s="220" t="s">
        <v>415</v>
      </c>
      <c r="D32" s="220" t="s">
        <v>414</v>
      </c>
      <c r="E32" s="248">
        <v>80</v>
      </c>
      <c r="F32" s="204">
        <v>90</v>
      </c>
      <c r="G32" s="243" t="s">
        <v>346</v>
      </c>
      <c r="H32" s="199">
        <v>52</v>
      </c>
      <c r="I32" s="199"/>
      <c r="J32" s="244">
        <v>69.989999999999995</v>
      </c>
      <c r="K32" s="245" t="s">
        <v>419</v>
      </c>
    </row>
    <row r="34" spans="3:3" x14ac:dyDescent="0.25">
      <c r="C34" s="220" t="s">
        <v>496</v>
      </c>
    </row>
    <row r="35" spans="3:3" x14ac:dyDescent="0.25">
      <c r="C35" s="120" t="s">
        <v>520</v>
      </c>
    </row>
    <row r="37" spans="3:3" x14ac:dyDescent="0.25">
      <c r="C37" s="220" t="s">
        <v>513</v>
      </c>
    </row>
    <row r="38" spans="3:3" x14ac:dyDescent="0.25">
      <c r="C38" s="171" t="s">
        <v>537</v>
      </c>
    </row>
    <row r="40" spans="3:3" x14ac:dyDescent="0.25">
      <c r="C40" s="258" t="s">
        <v>528</v>
      </c>
    </row>
    <row r="41" spans="3:3" x14ac:dyDescent="0.25">
      <c r="C41" s="256" t="s">
        <v>541</v>
      </c>
    </row>
    <row r="42" spans="3:3" x14ac:dyDescent="0.25">
      <c r="C42" s="301" t="s">
        <v>590</v>
      </c>
    </row>
    <row r="44" spans="3:3" x14ac:dyDescent="0.25">
      <c r="C44" s="87" t="s">
        <v>561</v>
      </c>
    </row>
    <row r="45" spans="3:3" x14ac:dyDescent="0.25">
      <c r="C45" s="297" t="s">
        <v>153</v>
      </c>
    </row>
    <row r="46" spans="3:3" x14ac:dyDescent="0.25">
      <c r="C46" s="172" t="s">
        <v>589</v>
      </c>
    </row>
    <row r="48" spans="3:3" x14ac:dyDescent="0.25">
      <c r="C48" s="87" t="s">
        <v>593</v>
      </c>
    </row>
    <row r="49" spans="3:3" x14ac:dyDescent="0.25">
      <c r="C49" s="172" t="s">
        <v>532</v>
      </c>
    </row>
  </sheetData>
  <sortState ref="B3:J25">
    <sortCondition ref="B3:B25"/>
    <sortCondition ref="C3:C25"/>
  </sortState>
  <phoneticPr fontId="9" type="noConversion"/>
  <hyperlinks>
    <hyperlink ref="K25" r:id="rId1"/>
    <hyperlink ref="K28" r:id="rId2"/>
    <hyperlink ref="K27" r:id="rId3"/>
    <hyperlink ref="K26" r:id="rId4"/>
    <hyperlink ref="K32" r:id="rId5"/>
    <hyperlink ref="K3" r:id="rId6"/>
    <hyperlink ref="K4" r:id="rId7"/>
    <hyperlink ref="K15" r:id="rId8"/>
    <hyperlink ref="K14" r:id="rId9"/>
    <hyperlink ref="K13" r:id="rId10"/>
  </hyperlinks>
  <pageMargins left="0.7" right="0.7" top="0.75" bottom="0.75" header="0.3" footer="0.3"/>
  <pageSetup scale="45" fitToHeight="0" orientation="portrait" horizontalDpi="4294967292" verticalDpi="4294967292" r:id="rId11"/>
  <extLst>
    <ext xmlns:mx="http://schemas.microsoft.com/office/mac/excel/2008/main" uri="{64002731-A6B0-56B0-2670-7721B7C09600}">
      <mx:PLV Mode="1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5"/>
  <sheetViews>
    <sheetView topLeftCell="A5" workbookViewId="0">
      <selection sqref="A1:Q45"/>
    </sheetView>
  </sheetViews>
  <sheetFormatPr defaultColWidth="8.875" defaultRowHeight="15.75" x14ac:dyDescent="0.25"/>
  <cols>
    <col min="1" max="1" width="5" bestFit="1" customWidth="1"/>
    <col min="2" max="2" width="12.5" bestFit="1" customWidth="1"/>
    <col min="3" max="3" width="22.625" bestFit="1" customWidth="1"/>
    <col min="4" max="4" width="4.625" style="23" bestFit="1" customWidth="1"/>
    <col min="5" max="5" width="5" style="23" bestFit="1" customWidth="1"/>
    <col min="6" max="6" width="6.375" style="24" bestFit="1" customWidth="1"/>
    <col min="7" max="7" width="4.625" bestFit="1" customWidth="1"/>
    <col min="8" max="8" width="5.375" bestFit="1" customWidth="1"/>
    <col min="9" max="9" width="6" bestFit="1" customWidth="1"/>
    <col min="10" max="11" width="5" bestFit="1" customWidth="1"/>
    <col min="12" max="12" width="5.375" style="26" bestFit="1" customWidth="1"/>
    <col min="13" max="13" width="8.625" bestFit="1" customWidth="1"/>
    <col min="14" max="16" width="8.625" customWidth="1"/>
    <col min="17" max="17" width="26.125" customWidth="1"/>
  </cols>
  <sheetData>
    <row r="1" spans="1:17" x14ac:dyDescent="0.25">
      <c r="A1" t="s">
        <v>370</v>
      </c>
    </row>
    <row r="2" spans="1:17" s="17" customFormat="1" ht="129.75" x14ac:dyDescent="0.25">
      <c r="A2" s="103" t="s">
        <v>27</v>
      </c>
      <c r="B2" s="159" t="s">
        <v>28</v>
      </c>
      <c r="C2" s="159" t="s">
        <v>30</v>
      </c>
      <c r="D2" s="160" t="s">
        <v>31</v>
      </c>
      <c r="E2" s="160" t="s">
        <v>435</v>
      </c>
      <c r="F2" s="161" t="s">
        <v>110</v>
      </c>
      <c r="G2" s="161" t="s">
        <v>111</v>
      </c>
      <c r="H2" s="161" t="s">
        <v>436</v>
      </c>
      <c r="I2" s="161" t="s">
        <v>205</v>
      </c>
      <c r="J2" s="161" t="s">
        <v>167</v>
      </c>
      <c r="K2" s="161" t="s">
        <v>166</v>
      </c>
      <c r="L2" s="161" t="s">
        <v>37</v>
      </c>
      <c r="M2" s="250" t="s">
        <v>39</v>
      </c>
      <c r="N2" s="16" t="s">
        <v>595</v>
      </c>
      <c r="O2" s="251" t="s">
        <v>510</v>
      </c>
      <c r="P2" s="249" t="s">
        <v>511</v>
      </c>
      <c r="Q2" s="36" t="s">
        <v>14</v>
      </c>
    </row>
    <row r="3" spans="1:17" s="87" customFormat="1" x14ac:dyDescent="0.25">
      <c r="A3" s="80">
        <v>19</v>
      </c>
      <c r="B3" s="81" t="s">
        <v>444</v>
      </c>
      <c r="C3" s="81" t="s">
        <v>447</v>
      </c>
      <c r="D3" s="238">
        <v>6</v>
      </c>
      <c r="E3" s="238">
        <v>22.2</v>
      </c>
      <c r="F3" s="335">
        <v>10000</v>
      </c>
      <c r="G3" s="164">
        <v>40</v>
      </c>
      <c r="H3" s="164" t="s">
        <v>42</v>
      </c>
      <c r="I3" s="164">
        <v>165</v>
      </c>
      <c r="J3" s="164">
        <v>62</v>
      </c>
      <c r="K3" s="164">
        <v>55</v>
      </c>
      <c r="L3" s="165">
        <v>1368</v>
      </c>
      <c r="M3" s="240">
        <v>279</v>
      </c>
      <c r="N3" s="287">
        <f>F3/(I3*J3*K3)</f>
        <v>1.7773038300897537E-2</v>
      </c>
      <c r="O3" s="287">
        <f>M3/F3</f>
        <v>2.7900000000000001E-2</v>
      </c>
      <c r="P3" s="241">
        <f>F3/L3</f>
        <v>7.3099415204678362</v>
      </c>
      <c r="Q3" s="174" t="s">
        <v>448</v>
      </c>
    </row>
    <row r="4" spans="1:17" s="87" customFormat="1" x14ac:dyDescent="0.25">
      <c r="A4" s="80"/>
      <c r="B4" s="81" t="s">
        <v>444</v>
      </c>
      <c r="C4" s="81" t="s">
        <v>445</v>
      </c>
      <c r="D4" s="238">
        <v>6</v>
      </c>
      <c r="E4" s="238">
        <v>22.2</v>
      </c>
      <c r="F4" s="239">
        <v>5000</v>
      </c>
      <c r="G4" s="164">
        <v>40</v>
      </c>
      <c r="H4" s="164" t="s">
        <v>42</v>
      </c>
      <c r="I4" s="164">
        <v>145</v>
      </c>
      <c r="J4" s="164">
        <v>50</v>
      </c>
      <c r="K4" s="164">
        <v>50</v>
      </c>
      <c r="L4" s="165">
        <v>790</v>
      </c>
      <c r="M4" s="240">
        <v>189</v>
      </c>
      <c r="N4" s="287">
        <f t="shared" ref="N4:N26" si="0">F4/(I4*J4*K4)</f>
        <v>1.3793103448275862E-2</v>
      </c>
      <c r="O4" s="242">
        <f t="shared" ref="O4:O26" si="1">M4/F4</f>
        <v>3.78E-2</v>
      </c>
      <c r="P4" s="241">
        <f t="shared" ref="P4:P26" si="2">F4/L4</f>
        <v>6.3291139240506329</v>
      </c>
      <c r="Q4" s="174" t="s">
        <v>446</v>
      </c>
    </row>
    <row r="5" spans="1:17" s="95" customFormat="1" x14ac:dyDescent="0.25">
      <c r="A5" s="311"/>
      <c r="B5" s="312"/>
      <c r="C5" s="312"/>
      <c r="D5" s="313"/>
      <c r="E5" s="313"/>
      <c r="F5" s="320"/>
      <c r="G5" s="314"/>
      <c r="H5" s="314"/>
      <c r="I5" s="314"/>
      <c r="J5" s="314"/>
      <c r="K5" s="314"/>
      <c r="L5" s="315"/>
      <c r="M5" s="316"/>
      <c r="N5" s="317"/>
      <c r="O5" s="317"/>
      <c r="P5" s="318"/>
      <c r="Q5" s="323"/>
    </row>
    <row r="6" spans="1:17" s="87" customFormat="1" x14ac:dyDescent="0.25">
      <c r="A6" s="80"/>
      <c r="B6" s="81" t="s">
        <v>449</v>
      </c>
      <c r="C6" s="81" t="s">
        <v>455</v>
      </c>
      <c r="D6" s="238">
        <v>5</v>
      </c>
      <c r="E6" s="300">
        <v>18.5</v>
      </c>
      <c r="F6" s="239">
        <v>5000</v>
      </c>
      <c r="G6" s="164">
        <v>30</v>
      </c>
      <c r="H6" s="164" t="s">
        <v>42</v>
      </c>
      <c r="I6" s="164">
        <v>164</v>
      </c>
      <c r="J6" s="164">
        <v>43.2</v>
      </c>
      <c r="K6" s="164">
        <v>45.7</v>
      </c>
      <c r="L6" s="165">
        <v>672</v>
      </c>
      <c r="M6" s="240">
        <v>149.99</v>
      </c>
      <c r="N6" s="287">
        <f t="shared" si="0"/>
        <v>1.5442805777437786E-2</v>
      </c>
      <c r="O6" s="287">
        <f t="shared" si="1"/>
        <v>2.9998E-2</v>
      </c>
      <c r="P6" s="241">
        <f t="shared" si="2"/>
        <v>7.4404761904761907</v>
      </c>
      <c r="Q6" s="218" t="s">
        <v>454</v>
      </c>
    </row>
    <row r="7" spans="1:17" s="87" customFormat="1" x14ac:dyDescent="0.25">
      <c r="A7" s="80"/>
      <c r="B7" s="81" t="s">
        <v>449</v>
      </c>
      <c r="C7" s="81" t="s">
        <v>452</v>
      </c>
      <c r="D7" s="238">
        <v>6</v>
      </c>
      <c r="E7" s="238">
        <v>22.2</v>
      </c>
      <c r="F7" s="239">
        <v>5000</v>
      </c>
      <c r="G7" s="164">
        <v>30</v>
      </c>
      <c r="H7" s="164" t="s">
        <v>42</v>
      </c>
      <c r="I7" s="164">
        <v>164</v>
      </c>
      <c r="J7" s="164">
        <v>54.6</v>
      </c>
      <c r="K7" s="164">
        <v>43.2</v>
      </c>
      <c r="L7" s="165">
        <v>808</v>
      </c>
      <c r="M7" s="240">
        <v>179.99</v>
      </c>
      <c r="N7" s="287">
        <f t="shared" si="0"/>
        <v>1.2925571868661299E-2</v>
      </c>
      <c r="O7" s="242">
        <f t="shared" si="1"/>
        <v>3.5998000000000002E-2</v>
      </c>
      <c r="P7" s="241">
        <f t="shared" si="2"/>
        <v>6.1881188118811883</v>
      </c>
      <c r="Q7" s="218" t="s">
        <v>453</v>
      </c>
    </row>
    <row r="8" spans="1:17" s="87" customFormat="1" x14ac:dyDescent="0.25">
      <c r="A8" s="80"/>
      <c r="B8" s="81" t="s">
        <v>449</v>
      </c>
      <c r="C8" s="81" t="s">
        <v>450</v>
      </c>
      <c r="D8" s="238">
        <v>6</v>
      </c>
      <c r="E8" s="238">
        <v>22.2</v>
      </c>
      <c r="F8" s="239">
        <v>5000</v>
      </c>
      <c r="G8" s="164">
        <v>50</v>
      </c>
      <c r="H8" s="164" t="s">
        <v>42</v>
      </c>
      <c r="I8" s="164">
        <v>134</v>
      </c>
      <c r="J8" s="164">
        <v>64</v>
      </c>
      <c r="K8" s="164">
        <v>45</v>
      </c>
      <c r="L8" s="165">
        <v>834</v>
      </c>
      <c r="M8" s="240">
        <v>239.99</v>
      </c>
      <c r="N8" s="287">
        <f t="shared" si="0"/>
        <v>1.2956053067993367E-2</v>
      </c>
      <c r="O8" s="242">
        <f t="shared" si="1"/>
        <v>4.7997999999999999E-2</v>
      </c>
      <c r="P8" s="241">
        <f t="shared" si="2"/>
        <v>5.9952038369304557</v>
      </c>
      <c r="Q8" s="218" t="s">
        <v>451</v>
      </c>
    </row>
    <row r="9" spans="1:17" s="95" customFormat="1" x14ac:dyDescent="0.25">
      <c r="A9" s="311"/>
      <c r="B9" s="312"/>
      <c r="C9" s="312"/>
      <c r="D9" s="313"/>
      <c r="E9" s="313"/>
      <c r="F9" s="320"/>
      <c r="G9" s="314"/>
      <c r="H9" s="314"/>
      <c r="I9" s="314"/>
      <c r="J9" s="314"/>
      <c r="K9" s="314"/>
      <c r="L9" s="315"/>
      <c r="M9" s="316"/>
      <c r="N9" s="317"/>
      <c r="O9" s="317"/>
      <c r="P9" s="318"/>
      <c r="Q9" s="319"/>
    </row>
    <row r="10" spans="1:17" s="87" customFormat="1" x14ac:dyDescent="0.25">
      <c r="A10" s="80"/>
      <c r="B10" s="81" t="s">
        <v>433</v>
      </c>
      <c r="C10" s="81" t="s">
        <v>491</v>
      </c>
      <c r="D10" s="238">
        <v>4</v>
      </c>
      <c r="E10" s="238">
        <v>14.8</v>
      </c>
      <c r="F10" s="334">
        <v>5000</v>
      </c>
      <c r="G10" s="329">
        <v>35</v>
      </c>
      <c r="H10" s="329">
        <v>65</v>
      </c>
      <c r="I10" s="330">
        <v>158.80000000000001</v>
      </c>
      <c r="J10" s="330">
        <v>45</v>
      </c>
      <c r="K10" s="330">
        <v>37.6</v>
      </c>
      <c r="L10" s="330">
        <v>545</v>
      </c>
      <c r="M10" s="240">
        <v>120</v>
      </c>
      <c r="N10" s="287">
        <f t="shared" si="0"/>
        <v>1.8608833389904184E-2</v>
      </c>
      <c r="O10" s="287">
        <f t="shared" si="1"/>
        <v>2.4E-2</v>
      </c>
      <c r="P10" s="241">
        <f t="shared" si="2"/>
        <v>9.1743119266055047</v>
      </c>
      <c r="Q10" s="218" t="s">
        <v>434</v>
      </c>
    </row>
    <row r="11" spans="1:17" s="87" customFormat="1" x14ac:dyDescent="0.25">
      <c r="A11" s="80"/>
      <c r="B11" s="81" t="s">
        <v>433</v>
      </c>
      <c r="C11" s="81" t="s">
        <v>492</v>
      </c>
      <c r="D11" s="238">
        <v>4</v>
      </c>
      <c r="E11" s="238">
        <v>14.8</v>
      </c>
      <c r="F11" s="333">
        <v>5400</v>
      </c>
      <c r="G11" s="164">
        <v>35</v>
      </c>
      <c r="H11" s="164">
        <v>65</v>
      </c>
      <c r="I11" s="164">
        <v>158.5</v>
      </c>
      <c r="J11" s="164">
        <v>46.8</v>
      </c>
      <c r="K11" s="164">
        <v>40.200000000000003</v>
      </c>
      <c r="L11" s="165">
        <v>594</v>
      </c>
      <c r="M11" s="240">
        <v>127.99</v>
      </c>
      <c r="N11" s="287">
        <f t="shared" si="0"/>
        <v>1.810892154128653E-2</v>
      </c>
      <c r="O11" s="287">
        <f t="shared" si="1"/>
        <v>2.3701851851851852E-2</v>
      </c>
      <c r="P11" s="241">
        <f t="shared" si="2"/>
        <v>9.0909090909090917</v>
      </c>
      <c r="Q11" s="174" t="s">
        <v>437</v>
      </c>
    </row>
    <row r="12" spans="1:17" s="87" customFormat="1" x14ac:dyDescent="0.25">
      <c r="A12" s="80"/>
      <c r="B12" s="81" t="s">
        <v>433</v>
      </c>
      <c r="C12" s="81" t="s">
        <v>493</v>
      </c>
      <c r="D12" s="238">
        <v>6</v>
      </c>
      <c r="E12" s="238">
        <v>22.2</v>
      </c>
      <c r="F12" s="164">
        <v>5000</v>
      </c>
      <c r="G12" s="164">
        <v>35</v>
      </c>
      <c r="H12" s="164">
        <v>65</v>
      </c>
      <c r="I12" s="164">
        <v>158.5</v>
      </c>
      <c r="J12" s="164">
        <v>45</v>
      </c>
      <c r="K12" s="164">
        <v>55.8</v>
      </c>
      <c r="L12" s="165">
        <v>849</v>
      </c>
      <c r="M12" s="240">
        <v>163</v>
      </c>
      <c r="N12" s="287">
        <f t="shared" si="0"/>
        <v>1.2563019245289181E-2</v>
      </c>
      <c r="O12" s="242">
        <f t="shared" si="1"/>
        <v>3.2599999999999997E-2</v>
      </c>
      <c r="P12" s="241">
        <f t="shared" si="2"/>
        <v>5.8892815076560661</v>
      </c>
      <c r="Q12" s="218" t="s">
        <v>438</v>
      </c>
    </row>
    <row r="13" spans="1:17" s="87" customFormat="1" x14ac:dyDescent="0.25">
      <c r="A13" s="80"/>
      <c r="B13" s="81" t="s">
        <v>433</v>
      </c>
      <c r="C13" s="81" t="s">
        <v>494</v>
      </c>
      <c r="D13" s="238">
        <v>6</v>
      </c>
      <c r="E13" s="238">
        <v>22.2</v>
      </c>
      <c r="F13" s="164">
        <v>5400</v>
      </c>
      <c r="G13" s="164">
        <v>35</v>
      </c>
      <c r="H13" s="164">
        <v>65</v>
      </c>
      <c r="I13" s="164">
        <v>158.5</v>
      </c>
      <c r="J13" s="164">
        <v>46.8</v>
      </c>
      <c r="K13" s="164">
        <v>60.5</v>
      </c>
      <c r="L13" s="165">
        <v>920</v>
      </c>
      <c r="M13" s="240">
        <v>189</v>
      </c>
      <c r="N13" s="287">
        <f t="shared" si="0"/>
        <v>1.2032704891896175E-2</v>
      </c>
      <c r="O13" s="242">
        <f t="shared" si="1"/>
        <v>3.5000000000000003E-2</v>
      </c>
      <c r="P13" s="241">
        <f t="shared" si="2"/>
        <v>5.8695652173913047</v>
      </c>
      <c r="Q13" s="218" t="s">
        <v>439</v>
      </c>
    </row>
    <row r="14" spans="1:17" s="95" customFormat="1" x14ac:dyDescent="0.25">
      <c r="A14" s="311"/>
      <c r="B14" s="312"/>
      <c r="C14" s="312"/>
      <c r="D14" s="313"/>
      <c r="E14" s="313"/>
      <c r="F14" s="314"/>
      <c r="G14" s="314"/>
      <c r="H14" s="314"/>
      <c r="I14" s="314"/>
      <c r="J14" s="314"/>
      <c r="K14" s="314"/>
      <c r="L14" s="315"/>
      <c r="M14" s="316"/>
      <c r="N14" s="317"/>
      <c r="O14" s="317"/>
      <c r="P14" s="318"/>
      <c r="Q14" s="319"/>
    </row>
    <row r="15" spans="1:17" s="87" customFormat="1" x14ac:dyDescent="0.25">
      <c r="A15" s="332"/>
      <c r="B15" s="81" t="s">
        <v>586</v>
      </c>
      <c r="C15" s="81" t="s">
        <v>587</v>
      </c>
      <c r="D15" s="238">
        <v>4</v>
      </c>
      <c r="E15" s="238">
        <v>14.8</v>
      </c>
      <c r="F15" s="333">
        <v>5200</v>
      </c>
      <c r="G15" s="164">
        <v>35</v>
      </c>
      <c r="H15" s="164">
        <v>70</v>
      </c>
      <c r="I15" s="164">
        <v>152</v>
      </c>
      <c r="J15" s="164">
        <v>48</v>
      </c>
      <c r="K15" s="164">
        <v>32</v>
      </c>
      <c r="L15" s="165">
        <v>505</v>
      </c>
      <c r="M15" s="240">
        <v>74.989999999999995</v>
      </c>
      <c r="N15" s="287">
        <f t="shared" si="0"/>
        <v>2.227247807017544E-2</v>
      </c>
      <c r="O15" s="287">
        <f t="shared" ref="O15" si="3">M15/F15</f>
        <v>1.4421153846153846E-2</v>
      </c>
      <c r="P15" s="241">
        <f t="shared" ref="P15" si="4">F15/L15</f>
        <v>10.297029702970297</v>
      </c>
      <c r="Q15" s="218" t="s">
        <v>588</v>
      </c>
    </row>
    <row r="16" spans="1:17" s="87" customFormat="1" x14ac:dyDescent="0.25">
      <c r="A16" s="80"/>
      <c r="B16" s="81" t="s">
        <v>456</v>
      </c>
      <c r="C16" s="81" t="s">
        <v>457</v>
      </c>
      <c r="D16" s="238">
        <v>6</v>
      </c>
      <c r="E16" s="238">
        <v>22.2</v>
      </c>
      <c r="F16" s="239">
        <v>5000</v>
      </c>
      <c r="G16" s="164">
        <v>70</v>
      </c>
      <c r="H16" s="164">
        <v>140</v>
      </c>
      <c r="I16" s="164">
        <v>156</v>
      </c>
      <c r="J16" s="164">
        <v>46</v>
      </c>
      <c r="K16" s="164">
        <v>49</v>
      </c>
      <c r="L16" s="165">
        <v>796</v>
      </c>
      <c r="M16" s="240">
        <v>246.99</v>
      </c>
      <c r="N16" s="287">
        <f t="shared" si="0"/>
        <v>1.4219734716629127E-2</v>
      </c>
      <c r="O16" s="242">
        <f t="shared" si="1"/>
        <v>4.9398000000000004E-2</v>
      </c>
      <c r="P16" s="241">
        <f t="shared" si="2"/>
        <v>6.2814070351758797</v>
      </c>
      <c r="Q16" s="218" t="s">
        <v>458</v>
      </c>
    </row>
    <row r="17" spans="1:18" s="95" customFormat="1" x14ac:dyDescent="0.25">
      <c r="A17" s="311"/>
      <c r="B17" s="312"/>
      <c r="C17" s="312"/>
      <c r="D17" s="313"/>
      <c r="E17" s="313"/>
      <c r="F17" s="320"/>
      <c r="G17" s="314"/>
      <c r="H17" s="314"/>
      <c r="I17" s="314"/>
      <c r="J17" s="314"/>
      <c r="K17" s="314"/>
      <c r="L17" s="315"/>
      <c r="M17" s="316"/>
      <c r="N17" s="317"/>
      <c r="O17" s="317"/>
      <c r="P17" s="318"/>
      <c r="Q17" s="319"/>
    </row>
    <row r="18" spans="1:18" s="87" customFormat="1" x14ac:dyDescent="0.25">
      <c r="A18" s="80"/>
      <c r="B18" s="81" t="s">
        <v>40</v>
      </c>
      <c r="C18" s="81" t="s">
        <v>485</v>
      </c>
      <c r="D18" s="238">
        <v>4</v>
      </c>
      <c r="E18" s="238">
        <v>14.8</v>
      </c>
      <c r="F18" s="333">
        <v>5000</v>
      </c>
      <c r="G18" s="164">
        <v>65</v>
      </c>
      <c r="H18" s="164">
        <v>130</v>
      </c>
      <c r="I18" s="164">
        <v>156</v>
      </c>
      <c r="J18" s="164">
        <v>46</v>
      </c>
      <c r="K18" s="164">
        <v>35</v>
      </c>
      <c r="L18" s="165">
        <v>537</v>
      </c>
      <c r="M18" s="240">
        <v>90.66</v>
      </c>
      <c r="N18" s="287">
        <f t="shared" si="0"/>
        <v>1.9907628603280776E-2</v>
      </c>
      <c r="O18" s="287">
        <f t="shared" si="1"/>
        <v>1.8131999999999999E-2</v>
      </c>
      <c r="P18" s="241">
        <f t="shared" si="2"/>
        <v>9.3109869646182499</v>
      </c>
      <c r="Q18" s="218" t="s">
        <v>443</v>
      </c>
    </row>
    <row r="19" spans="1:18" s="87" customFormat="1" x14ac:dyDescent="0.25">
      <c r="A19" s="80"/>
      <c r="B19" s="81" t="s">
        <v>40</v>
      </c>
      <c r="C19" s="81" t="s">
        <v>486</v>
      </c>
      <c r="D19" s="238">
        <v>6</v>
      </c>
      <c r="E19" s="238">
        <v>22.2</v>
      </c>
      <c r="F19" s="164">
        <v>5000</v>
      </c>
      <c r="G19" s="164">
        <v>65</v>
      </c>
      <c r="H19" s="164">
        <v>130</v>
      </c>
      <c r="I19" s="164">
        <v>156</v>
      </c>
      <c r="J19" s="164">
        <v>46</v>
      </c>
      <c r="K19" s="164">
        <v>51</v>
      </c>
      <c r="L19" s="165">
        <v>786</v>
      </c>
      <c r="M19" s="240">
        <v>148.05000000000001</v>
      </c>
      <c r="N19" s="287">
        <f t="shared" si="0"/>
        <v>1.3662098061075044E-2</v>
      </c>
      <c r="O19" s="287">
        <f t="shared" si="1"/>
        <v>2.9610000000000001E-2</v>
      </c>
      <c r="P19" s="288">
        <f t="shared" si="2"/>
        <v>6.3613231552162848</v>
      </c>
      <c r="Q19" s="174" t="s">
        <v>442</v>
      </c>
    </row>
    <row r="20" spans="1:18" s="87" customFormat="1" x14ac:dyDescent="0.25">
      <c r="A20" s="80"/>
      <c r="B20" s="81" t="s">
        <v>40</v>
      </c>
      <c r="C20" s="81" t="s">
        <v>486</v>
      </c>
      <c r="D20" s="238">
        <v>6</v>
      </c>
      <c r="E20" s="238">
        <v>22.2</v>
      </c>
      <c r="F20" s="164">
        <v>5000</v>
      </c>
      <c r="G20" s="164">
        <v>65</v>
      </c>
      <c r="H20" s="164">
        <v>130</v>
      </c>
      <c r="I20" s="164">
        <v>153</v>
      </c>
      <c r="J20" s="164">
        <v>54</v>
      </c>
      <c r="K20" s="164">
        <v>49</v>
      </c>
      <c r="L20" s="165">
        <v>840</v>
      </c>
      <c r="M20" s="240">
        <v>129.99</v>
      </c>
      <c r="N20" s="287">
        <f t="shared" si="0"/>
        <v>1.2350619260049699E-2</v>
      </c>
      <c r="O20" s="287">
        <f t="shared" si="1"/>
        <v>2.5998E-2</v>
      </c>
      <c r="P20" s="288">
        <f t="shared" si="2"/>
        <v>5.9523809523809526</v>
      </c>
      <c r="Q20" s="174" t="s">
        <v>442</v>
      </c>
    </row>
    <row r="21" spans="1:18" s="87" customFormat="1" x14ac:dyDescent="0.25">
      <c r="A21" s="80"/>
      <c r="B21" s="81" t="s">
        <v>40</v>
      </c>
      <c r="C21" s="81" t="s">
        <v>487</v>
      </c>
      <c r="D21" s="238">
        <v>6</v>
      </c>
      <c r="E21" s="238">
        <v>22.2</v>
      </c>
      <c r="F21" s="164">
        <v>5000</v>
      </c>
      <c r="G21" s="164">
        <v>65</v>
      </c>
      <c r="H21" s="164">
        <v>130</v>
      </c>
      <c r="I21" s="164">
        <v>156</v>
      </c>
      <c r="J21" s="164">
        <v>51</v>
      </c>
      <c r="K21" s="164">
        <v>46</v>
      </c>
      <c r="L21" s="165">
        <v>786</v>
      </c>
      <c r="M21" s="240">
        <v>148.05000000000001</v>
      </c>
      <c r="N21" s="287">
        <f t="shared" si="0"/>
        <v>1.3662098061075044E-2</v>
      </c>
      <c r="O21" s="287">
        <f t="shared" si="1"/>
        <v>2.9610000000000001E-2</v>
      </c>
      <c r="P21" s="288">
        <f t="shared" si="2"/>
        <v>6.3613231552162848</v>
      </c>
      <c r="Q21" s="174" t="s">
        <v>442</v>
      </c>
    </row>
    <row r="22" spans="1:18" s="95" customFormat="1" x14ac:dyDescent="0.25">
      <c r="A22" s="311"/>
      <c r="B22" s="312"/>
      <c r="C22" s="312"/>
      <c r="D22" s="313"/>
      <c r="E22" s="313"/>
      <c r="F22" s="314"/>
      <c r="G22" s="314"/>
      <c r="H22" s="314"/>
      <c r="I22" s="314"/>
      <c r="J22" s="314"/>
      <c r="K22" s="314"/>
      <c r="L22" s="315"/>
      <c r="M22" s="316"/>
      <c r="N22" s="317"/>
      <c r="O22" s="317"/>
      <c r="P22" s="318"/>
      <c r="Q22" s="323"/>
    </row>
    <row r="23" spans="1:18" s="172" customFormat="1" x14ac:dyDescent="0.25">
      <c r="A23" s="332">
        <v>1</v>
      </c>
      <c r="B23" s="213" t="s">
        <v>594</v>
      </c>
      <c r="C23" s="213" t="s">
        <v>618</v>
      </c>
      <c r="D23" s="324">
        <v>4</v>
      </c>
      <c r="E23" s="324">
        <v>14.8</v>
      </c>
      <c r="F23" s="270">
        <v>5800</v>
      </c>
      <c r="G23" s="270">
        <v>35</v>
      </c>
      <c r="H23" s="270" t="s">
        <v>42</v>
      </c>
      <c r="I23" s="325">
        <f>6*25.4</f>
        <v>152.39999999999998</v>
      </c>
      <c r="J23" s="271">
        <f>2.1*25.4</f>
        <v>53.339999999999996</v>
      </c>
      <c r="K23" s="325">
        <f>1.4*25.4</f>
        <v>35.559999999999995</v>
      </c>
      <c r="L23" s="271">
        <v>585</v>
      </c>
      <c r="M23" s="326">
        <v>90</v>
      </c>
      <c r="N23" s="327">
        <f t="shared" si="0"/>
        <v>2.0064496357678423E-2</v>
      </c>
      <c r="O23" s="327">
        <f t="shared" ref="O23" si="5">M23/F23</f>
        <v>1.5517241379310345E-2</v>
      </c>
      <c r="P23" s="328">
        <f t="shared" ref="P23" si="6">F23/L23</f>
        <v>9.9145299145299148</v>
      </c>
      <c r="Q23" s="267" t="s">
        <v>613</v>
      </c>
    </row>
    <row r="24" spans="1:18" s="87" customFormat="1" x14ac:dyDescent="0.25">
      <c r="A24" s="80"/>
      <c r="B24" s="81" t="s">
        <v>40</v>
      </c>
      <c r="C24" s="81" t="s">
        <v>488</v>
      </c>
      <c r="D24" s="238">
        <v>4</v>
      </c>
      <c r="E24" s="238">
        <v>14.8</v>
      </c>
      <c r="F24" s="333">
        <v>5000</v>
      </c>
      <c r="G24" s="164">
        <v>65</v>
      </c>
      <c r="H24" s="164">
        <v>130</v>
      </c>
      <c r="I24" s="164">
        <v>153</v>
      </c>
      <c r="J24" s="164">
        <v>49</v>
      </c>
      <c r="K24" s="164">
        <v>37</v>
      </c>
      <c r="L24" s="165">
        <v>576</v>
      </c>
      <c r="M24" s="240">
        <v>76.59</v>
      </c>
      <c r="N24" s="287">
        <f t="shared" si="0"/>
        <v>1.8025228109261722E-2</v>
      </c>
      <c r="O24" s="287">
        <f t="shared" si="1"/>
        <v>1.5318E-2</v>
      </c>
      <c r="P24" s="241">
        <f t="shared" si="2"/>
        <v>8.6805555555555554</v>
      </c>
      <c r="Q24" s="174" t="s">
        <v>545</v>
      </c>
    </row>
    <row r="25" spans="1:18" s="87" customFormat="1" x14ac:dyDescent="0.25">
      <c r="A25" s="80"/>
      <c r="B25" s="81" t="s">
        <v>40</v>
      </c>
      <c r="C25" s="81" t="s">
        <v>489</v>
      </c>
      <c r="D25" s="238">
        <v>5</v>
      </c>
      <c r="E25" s="300">
        <v>18.5</v>
      </c>
      <c r="F25" s="164">
        <v>5000</v>
      </c>
      <c r="G25" s="164">
        <v>65</v>
      </c>
      <c r="H25" s="164">
        <v>130</v>
      </c>
      <c r="I25" s="164">
        <v>154</v>
      </c>
      <c r="J25" s="164">
        <v>46</v>
      </c>
      <c r="K25" s="164">
        <v>49</v>
      </c>
      <c r="L25" s="165">
        <v>712</v>
      </c>
      <c r="M25" s="240">
        <v>88.85</v>
      </c>
      <c r="N25" s="287">
        <f t="shared" si="0"/>
        <v>1.4404406596065868E-2</v>
      </c>
      <c r="O25" s="287">
        <f t="shared" si="1"/>
        <v>1.7769999999999998E-2</v>
      </c>
      <c r="P25" s="241">
        <f t="shared" si="2"/>
        <v>7.0224719101123592</v>
      </c>
      <c r="Q25" s="174" t="s">
        <v>441</v>
      </c>
    </row>
    <row r="26" spans="1:18" s="87" customFormat="1" x14ac:dyDescent="0.25">
      <c r="A26" s="80">
        <v>1</v>
      </c>
      <c r="B26" s="81" t="s">
        <v>40</v>
      </c>
      <c r="C26" s="81" t="s">
        <v>490</v>
      </c>
      <c r="D26" s="238">
        <v>6</v>
      </c>
      <c r="E26" s="238">
        <v>22.2</v>
      </c>
      <c r="F26" s="164">
        <v>5000</v>
      </c>
      <c r="G26" s="164">
        <v>65</v>
      </c>
      <c r="H26" s="164">
        <v>130</v>
      </c>
      <c r="I26" s="164">
        <v>153</v>
      </c>
      <c r="J26" s="164">
        <v>49</v>
      </c>
      <c r="K26" s="164">
        <v>55</v>
      </c>
      <c r="L26" s="165">
        <v>844</v>
      </c>
      <c r="M26" s="240">
        <v>116.7</v>
      </c>
      <c r="N26" s="287">
        <f t="shared" si="0"/>
        <v>1.2126062546230613E-2</v>
      </c>
      <c r="O26" s="287">
        <f t="shared" si="1"/>
        <v>2.334E-2</v>
      </c>
      <c r="P26" s="288">
        <f t="shared" si="2"/>
        <v>5.9241706161137442</v>
      </c>
      <c r="Q26" s="218" t="s">
        <v>440</v>
      </c>
    </row>
    <row r="27" spans="1:18" s="43" customFormat="1" x14ac:dyDescent="0.25">
      <c r="A27" s="39"/>
      <c r="B27" s="39"/>
      <c r="C27" s="72" t="s">
        <v>371</v>
      </c>
      <c r="D27" s="168">
        <f>MIN(D3:D26)</f>
        <v>4</v>
      </c>
      <c r="E27" s="168">
        <f t="shared" ref="E27:L27" si="7">MIN(E3:E26)</f>
        <v>14.8</v>
      </c>
      <c r="F27" s="168">
        <f t="shared" si="7"/>
        <v>5000</v>
      </c>
      <c r="G27" s="168">
        <f t="shared" si="7"/>
        <v>30</v>
      </c>
      <c r="H27" s="168">
        <f t="shared" si="7"/>
        <v>65</v>
      </c>
      <c r="I27" s="168">
        <f t="shared" si="7"/>
        <v>134</v>
      </c>
      <c r="J27" s="168">
        <f t="shared" si="7"/>
        <v>43.2</v>
      </c>
      <c r="K27" s="168">
        <f t="shared" si="7"/>
        <v>32</v>
      </c>
      <c r="L27" s="42">
        <f t="shared" si="7"/>
        <v>505</v>
      </c>
      <c r="M27" s="52">
        <f>AVERAGE(M3:M26)</f>
        <v>149.93842105263161</v>
      </c>
      <c r="N27" s="52"/>
      <c r="O27" s="52"/>
      <c r="P27" s="52"/>
      <c r="Q27" s="53"/>
    </row>
    <row r="28" spans="1:18" s="43" customFormat="1" x14ac:dyDescent="0.25">
      <c r="B28" s="54"/>
      <c r="C28" s="166" t="s">
        <v>372</v>
      </c>
      <c r="D28" s="169">
        <f>MAX(D3:D26)</f>
        <v>6</v>
      </c>
      <c r="E28" s="169">
        <f t="shared" ref="E28:L28" si="8">MAX(E3:E26)</f>
        <v>22.2</v>
      </c>
      <c r="F28" s="169">
        <f t="shared" si="8"/>
        <v>10000</v>
      </c>
      <c r="G28" s="169">
        <f t="shared" si="8"/>
        <v>70</v>
      </c>
      <c r="H28" s="169">
        <f t="shared" si="8"/>
        <v>140</v>
      </c>
      <c r="I28" s="169">
        <f t="shared" si="8"/>
        <v>165</v>
      </c>
      <c r="J28" s="169">
        <f t="shared" si="8"/>
        <v>64</v>
      </c>
      <c r="K28" s="132">
        <f t="shared" si="8"/>
        <v>60.5</v>
      </c>
      <c r="L28" s="169">
        <f t="shared" si="8"/>
        <v>1368</v>
      </c>
      <c r="M28" s="134">
        <f t="shared" ref="M28" si="9">MAX(M3:M26)</f>
        <v>279</v>
      </c>
      <c r="N28" s="134"/>
      <c r="O28" s="134"/>
      <c r="P28" s="134"/>
      <c r="Q28"/>
    </row>
    <row r="29" spans="1:18" x14ac:dyDescent="0.25">
      <c r="C29" s="167" t="s">
        <v>373</v>
      </c>
      <c r="D29" s="67">
        <f>AVERAGE(D3:D26)</f>
        <v>5.2631578947368425</v>
      </c>
      <c r="E29" s="61">
        <f t="shared" ref="E29:L29" si="10">AVERAGE(E3:E26)</f>
        <v>19.473684210526315</v>
      </c>
      <c r="F29" s="67">
        <f t="shared" si="10"/>
        <v>5357.894736842105</v>
      </c>
      <c r="G29" s="67">
        <f t="shared" si="10"/>
        <v>48.684210526315788</v>
      </c>
      <c r="H29" s="67">
        <f t="shared" si="10"/>
        <v>106.15384615384616</v>
      </c>
      <c r="I29" s="67">
        <f t="shared" si="10"/>
        <v>155.1421052631579</v>
      </c>
      <c r="J29" s="67">
        <f t="shared" si="10"/>
        <v>49.775789473684213</v>
      </c>
      <c r="K29" s="67">
        <f t="shared" si="10"/>
        <v>45.87157894736842</v>
      </c>
      <c r="L29" s="67">
        <f t="shared" si="10"/>
        <v>755.10526315789468</v>
      </c>
      <c r="M29" s="89">
        <f t="shared" ref="M29" si="11">AVERAGE(M3:M26)</f>
        <v>149.93842105263161</v>
      </c>
      <c r="N29" s="89"/>
      <c r="O29" s="89"/>
      <c r="P29" s="89"/>
    </row>
    <row r="30" spans="1:18" x14ac:dyDescent="0.25">
      <c r="C30" s="87" t="s">
        <v>496</v>
      </c>
    </row>
    <row r="31" spans="1:18" x14ac:dyDescent="0.25">
      <c r="C31" t="s">
        <v>520</v>
      </c>
      <c r="Q31" t="s">
        <v>607</v>
      </c>
    </row>
    <row r="32" spans="1:18" x14ac:dyDescent="0.25">
      <c r="Q32" t="s">
        <v>604</v>
      </c>
      <c r="R32" t="s">
        <v>601</v>
      </c>
    </row>
    <row r="33" spans="3:17" x14ac:dyDescent="0.25">
      <c r="C33" s="87" t="s">
        <v>513</v>
      </c>
      <c r="Q33" t="s">
        <v>608</v>
      </c>
    </row>
    <row r="34" spans="3:17" x14ac:dyDescent="0.25">
      <c r="C34" s="171" t="s">
        <v>521</v>
      </c>
      <c r="Q34" t="s">
        <v>609</v>
      </c>
    </row>
    <row r="36" spans="3:17" x14ac:dyDescent="0.25">
      <c r="C36" s="258" t="s">
        <v>528</v>
      </c>
    </row>
    <row r="37" spans="3:17" x14ac:dyDescent="0.25">
      <c r="C37" s="256" t="s">
        <v>542</v>
      </c>
    </row>
    <row r="39" spans="3:17" x14ac:dyDescent="0.25">
      <c r="C39" s="87" t="s">
        <v>561</v>
      </c>
    </row>
    <row r="40" spans="3:17" x14ac:dyDescent="0.25">
      <c r="C40" s="301" t="s">
        <v>580</v>
      </c>
    </row>
    <row r="41" spans="3:17" x14ac:dyDescent="0.25">
      <c r="C41" s="331" t="s">
        <v>589</v>
      </c>
    </row>
    <row r="43" spans="3:17" x14ac:dyDescent="0.25">
      <c r="C43" s="87" t="s">
        <v>593</v>
      </c>
    </row>
    <row r="44" spans="3:17" x14ac:dyDescent="0.25">
      <c r="C44" s="235" t="s">
        <v>597</v>
      </c>
    </row>
    <row r="45" spans="3:17" x14ac:dyDescent="0.25">
      <c r="C45" s="172" t="s">
        <v>532</v>
      </c>
    </row>
  </sheetData>
  <sortState ref="B3:N19">
    <sortCondition ref="B3:B19"/>
    <sortCondition ref="C3:C19"/>
  </sortState>
  <phoneticPr fontId="9" type="noConversion"/>
  <hyperlinks>
    <hyperlink ref="Q11" r:id="rId1"/>
    <hyperlink ref="Q25" r:id="rId2"/>
    <hyperlink ref="Q24" r:id="rId3"/>
    <hyperlink ref="Q21" r:id="rId4"/>
    <hyperlink ref="Q20" r:id="rId5"/>
    <hyperlink ref="Q19" r:id="rId6"/>
    <hyperlink ref="Q23" r:id="rId7"/>
  </hyperlinks>
  <pageMargins left="0.7" right="0.7" top="0.75" bottom="0.75" header="0.3" footer="0.3"/>
  <pageSetup scale="63" orientation="landscape" horizontalDpi="4294967292" verticalDpi="4294967292" r:id="rId8"/>
  <extLst>
    <ext xmlns:mx="http://schemas.microsoft.com/office/mac/excel/2008/main" uri="{64002731-A6B0-56B0-2670-7721B7C09600}">
      <mx:PLV Mode="0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view="pageLayout" workbookViewId="0">
      <selection activeCell="J13" sqref="J13"/>
    </sheetView>
  </sheetViews>
  <sheetFormatPr defaultColWidth="8.875" defaultRowHeight="15.75" x14ac:dyDescent="0.25"/>
  <cols>
    <col min="1" max="1" width="5" bestFit="1" customWidth="1"/>
    <col min="2" max="2" width="15.5" bestFit="1" customWidth="1"/>
    <col min="3" max="3" width="17.875" bestFit="1" customWidth="1"/>
    <col min="4" max="4" width="11" customWidth="1"/>
    <col min="5" max="5" width="7" bestFit="1" customWidth="1"/>
    <col min="6" max="11" width="4.625" bestFit="1" customWidth="1"/>
    <col min="12" max="12" width="8" bestFit="1" customWidth="1"/>
    <col min="13" max="13" width="7.625" customWidth="1"/>
    <col min="14" max="14" width="28.375" bestFit="1" customWidth="1"/>
  </cols>
  <sheetData>
    <row r="1" spans="1:14" x14ac:dyDescent="0.25">
      <c r="A1" t="s">
        <v>58</v>
      </c>
    </row>
    <row r="2" spans="1:14" ht="60.75" x14ac:dyDescent="0.25">
      <c r="A2" s="1" t="s">
        <v>27</v>
      </c>
      <c r="B2" s="2" t="s">
        <v>28</v>
      </c>
      <c r="C2" s="2" t="s">
        <v>29</v>
      </c>
      <c r="D2" s="2" t="s">
        <v>30</v>
      </c>
      <c r="E2" s="2"/>
      <c r="F2" s="2" t="s">
        <v>459</v>
      </c>
      <c r="G2" s="14" t="s">
        <v>221</v>
      </c>
      <c r="H2" s="2" t="s">
        <v>222</v>
      </c>
      <c r="I2" s="2" t="s">
        <v>97</v>
      </c>
      <c r="J2" s="2" t="s">
        <v>37</v>
      </c>
      <c r="K2" s="2" t="s">
        <v>461</v>
      </c>
      <c r="L2" s="15" t="s">
        <v>39</v>
      </c>
      <c r="M2" s="16" t="s">
        <v>543</v>
      </c>
      <c r="N2" s="16" t="s">
        <v>14</v>
      </c>
    </row>
    <row r="3" spans="1:14" s="87" customFormat="1" x14ac:dyDescent="0.25">
      <c r="A3" s="80"/>
      <c r="B3" s="252" t="s">
        <v>473</v>
      </c>
      <c r="C3" s="252" t="s">
        <v>474</v>
      </c>
      <c r="D3" s="216" t="s">
        <v>633</v>
      </c>
      <c r="E3" s="216"/>
      <c r="F3" s="253" t="s">
        <v>116</v>
      </c>
      <c r="G3" s="217">
        <v>12</v>
      </c>
      <c r="H3" s="175">
        <v>5.5</v>
      </c>
      <c r="I3" s="257" t="s">
        <v>475</v>
      </c>
      <c r="J3" s="83">
        <v>0</v>
      </c>
      <c r="K3" s="83">
        <v>1</v>
      </c>
      <c r="L3" s="84">
        <v>4</v>
      </c>
      <c r="M3" s="84">
        <f>L3/K3</f>
        <v>4</v>
      </c>
      <c r="N3" s="174" t="s">
        <v>625</v>
      </c>
    </row>
    <row r="4" spans="1:14" s="87" customFormat="1" x14ac:dyDescent="0.25">
      <c r="A4" s="80"/>
      <c r="B4" s="252" t="s">
        <v>68</v>
      </c>
      <c r="C4" s="252" t="s">
        <v>478</v>
      </c>
      <c r="D4" s="216" t="s">
        <v>634</v>
      </c>
      <c r="E4" s="216"/>
      <c r="F4" s="253" t="s">
        <v>94</v>
      </c>
      <c r="G4" s="217">
        <v>15</v>
      </c>
      <c r="H4" s="175">
        <v>5.2</v>
      </c>
      <c r="I4" s="254" t="s">
        <v>42</v>
      </c>
      <c r="J4" s="83">
        <v>13</v>
      </c>
      <c r="K4" s="83">
        <v>2</v>
      </c>
      <c r="L4" s="149">
        <v>69</v>
      </c>
      <c r="M4" s="84">
        <f>L4/K4</f>
        <v>34.5</v>
      </c>
      <c r="N4" s="174" t="s">
        <v>429</v>
      </c>
    </row>
    <row r="5" spans="1:14" s="87" customFormat="1" ht="18" customHeight="1" x14ac:dyDescent="0.25">
      <c r="A5" s="80"/>
      <c r="B5" s="252" t="s">
        <v>68</v>
      </c>
      <c r="C5" s="252" t="s">
        <v>478</v>
      </c>
      <c r="D5" s="216" t="s">
        <v>634</v>
      </c>
      <c r="E5" s="345" t="s">
        <v>630</v>
      </c>
      <c r="F5" s="253" t="s">
        <v>94</v>
      </c>
      <c r="G5" s="217">
        <v>15</v>
      </c>
      <c r="H5" s="175">
        <v>5.2</v>
      </c>
      <c r="I5" s="254" t="s">
        <v>526</v>
      </c>
      <c r="J5" s="83">
        <v>13</v>
      </c>
      <c r="K5" s="83">
        <v>2</v>
      </c>
      <c r="L5" s="84">
        <v>45</v>
      </c>
      <c r="M5" s="84">
        <f>L5/K5</f>
        <v>22.5</v>
      </c>
      <c r="N5" s="174" t="s">
        <v>429</v>
      </c>
    </row>
    <row r="6" spans="1:14" s="95" customFormat="1" x14ac:dyDescent="0.25">
      <c r="A6" s="311"/>
      <c r="B6" s="337"/>
      <c r="C6" s="337"/>
      <c r="D6" s="338"/>
      <c r="E6" s="338"/>
      <c r="F6" s="339"/>
      <c r="G6" s="340"/>
      <c r="H6" s="341"/>
      <c r="I6" s="342"/>
      <c r="J6" s="343"/>
      <c r="K6" s="343"/>
      <c r="L6" s="289"/>
      <c r="M6" s="289"/>
      <c r="N6" s="323"/>
    </row>
    <row r="7" spans="1:14" s="87" customFormat="1" x14ac:dyDescent="0.25">
      <c r="A7" s="80"/>
      <c r="B7" s="252" t="s">
        <v>462</v>
      </c>
      <c r="C7" s="252" t="s">
        <v>468</v>
      </c>
      <c r="D7" s="216" t="s">
        <v>635</v>
      </c>
      <c r="E7" s="345" t="s">
        <v>632</v>
      </c>
      <c r="F7" s="253" t="s">
        <v>116</v>
      </c>
      <c r="G7" s="217">
        <v>14</v>
      </c>
      <c r="H7" s="175">
        <v>7</v>
      </c>
      <c r="I7" s="254" t="s">
        <v>98</v>
      </c>
      <c r="J7" s="83">
        <v>0</v>
      </c>
      <c r="K7" s="83">
        <v>2</v>
      </c>
      <c r="L7" s="84">
        <v>36</v>
      </c>
      <c r="M7" s="84">
        <f>L7/K7</f>
        <v>18</v>
      </c>
      <c r="N7" s="174" t="s">
        <v>625</v>
      </c>
    </row>
    <row r="8" spans="1:14" s="87" customFormat="1" x14ac:dyDescent="0.25">
      <c r="A8" s="212"/>
      <c r="B8" s="252" t="s">
        <v>465</v>
      </c>
      <c r="C8" s="252" t="s">
        <v>265</v>
      </c>
      <c r="D8" s="348" t="s">
        <v>636</v>
      </c>
      <c r="E8" s="216" t="s">
        <v>628</v>
      </c>
      <c r="F8" s="253" t="s">
        <v>116</v>
      </c>
      <c r="G8" s="217">
        <v>11</v>
      </c>
      <c r="H8" s="175">
        <v>5.5</v>
      </c>
      <c r="I8" s="254" t="s">
        <v>98</v>
      </c>
      <c r="J8" s="83">
        <v>0</v>
      </c>
      <c r="K8" s="83">
        <v>2</v>
      </c>
      <c r="L8" s="84">
        <v>19</v>
      </c>
      <c r="M8" s="84">
        <f t="shared" ref="M8:M12" si="0">L8/K8</f>
        <v>9.5</v>
      </c>
      <c r="N8" s="174" t="s">
        <v>612</v>
      </c>
    </row>
    <row r="9" spans="1:14" s="95" customFormat="1" x14ac:dyDescent="0.25">
      <c r="A9" s="212">
        <v>1</v>
      </c>
      <c r="B9" s="337" t="s">
        <v>465</v>
      </c>
      <c r="C9" s="337" t="s">
        <v>265</v>
      </c>
      <c r="D9" s="338" t="s">
        <v>637</v>
      </c>
      <c r="E9" s="338" t="s">
        <v>628</v>
      </c>
      <c r="F9" s="339" t="s">
        <v>116</v>
      </c>
      <c r="G9" s="340">
        <v>12</v>
      </c>
      <c r="H9" s="341">
        <v>5.5</v>
      </c>
      <c r="I9" s="342" t="s">
        <v>98</v>
      </c>
      <c r="J9" s="343">
        <v>15</v>
      </c>
      <c r="K9" s="343">
        <v>2</v>
      </c>
      <c r="L9" s="289">
        <v>20</v>
      </c>
      <c r="M9" s="289">
        <f t="shared" si="0"/>
        <v>10</v>
      </c>
      <c r="N9" s="323" t="s">
        <v>612</v>
      </c>
    </row>
    <row r="10" spans="1:14" s="95" customFormat="1" x14ac:dyDescent="0.25">
      <c r="A10" s="212">
        <v>2</v>
      </c>
      <c r="B10" s="337" t="s">
        <v>465</v>
      </c>
      <c r="C10" s="337" t="s">
        <v>265</v>
      </c>
      <c r="D10" s="338" t="s">
        <v>638</v>
      </c>
      <c r="E10" s="338" t="s">
        <v>628</v>
      </c>
      <c r="F10" s="339" t="s">
        <v>116</v>
      </c>
      <c r="G10" s="340">
        <v>13</v>
      </c>
      <c r="H10" s="341">
        <v>5.5</v>
      </c>
      <c r="I10" s="342" t="s">
        <v>98</v>
      </c>
      <c r="J10" s="343">
        <v>15</v>
      </c>
      <c r="K10" s="343">
        <v>2</v>
      </c>
      <c r="L10" s="289">
        <v>22</v>
      </c>
      <c r="M10" s="289">
        <f t="shared" si="0"/>
        <v>11</v>
      </c>
      <c r="N10" s="323" t="s">
        <v>612</v>
      </c>
    </row>
    <row r="11" spans="1:14" s="95" customFormat="1" x14ac:dyDescent="0.25">
      <c r="A11" s="212">
        <v>3</v>
      </c>
      <c r="B11" s="337" t="s">
        <v>465</v>
      </c>
      <c r="C11" s="337" t="s">
        <v>265</v>
      </c>
      <c r="D11" s="338" t="s">
        <v>639</v>
      </c>
      <c r="E11" s="338" t="s">
        <v>628</v>
      </c>
      <c r="F11" s="339" t="s">
        <v>116</v>
      </c>
      <c r="G11" s="340">
        <v>14</v>
      </c>
      <c r="H11" s="341">
        <v>5.5</v>
      </c>
      <c r="I11" s="342" t="s">
        <v>98</v>
      </c>
      <c r="J11" s="343">
        <v>15</v>
      </c>
      <c r="K11" s="343">
        <v>2</v>
      </c>
      <c r="L11" s="289">
        <v>24</v>
      </c>
      <c r="M11" s="289">
        <f t="shared" si="0"/>
        <v>12</v>
      </c>
      <c r="N11" s="323" t="s">
        <v>612</v>
      </c>
    </row>
    <row r="12" spans="1:14" s="95" customFormat="1" x14ac:dyDescent="0.25">
      <c r="A12" s="212">
        <v>4</v>
      </c>
      <c r="B12" s="337" t="s">
        <v>465</v>
      </c>
      <c r="C12" s="337" t="s">
        <v>265</v>
      </c>
      <c r="D12" s="338" t="s">
        <v>640</v>
      </c>
      <c r="E12" s="338" t="s">
        <v>628</v>
      </c>
      <c r="F12" s="339" t="s">
        <v>116</v>
      </c>
      <c r="G12" s="340">
        <v>15</v>
      </c>
      <c r="H12" s="341">
        <v>5.5</v>
      </c>
      <c r="I12" s="342" t="s">
        <v>98</v>
      </c>
      <c r="J12" s="343">
        <v>15</v>
      </c>
      <c r="K12" s="343">
        <v>2</v>
      </c>
      <c r="L12" s="289">
        <v>26</v>
      </c>
      <c r="M12" s="289">
        <f t="shared" si="0"/>
        <v>13</v>
      </c>
      <c r="N12" s="323" t="s">
        <v>612</v>
      </c>
    </row>
    <row r="13" spans="1:14" x14ac:dyDescent="0.25">
      <c r="A13" s="18">
        <v>5</v>
      </c>
      <c r="B13" s="162" t="s">
        <v>462</v>
      </c>
      <c r="C13" s="162" t="s">
        <v>469</v>
      </c>
      <c r="D13" s="77" t="s">
        <v>640</v>
      </c>
      <c r="E13" s="77" t="s">
        <v>628</v>
      </c>
      <c r="F13" s="6" t="s">
        <v>116</v>
      </c>
      <c r="G13" s="163">
        <v>15</v>
      </c>
      <c r="H13" s="22">
        <v>5.5</v>
      </c>
      <c r="I13" s="19" t="s">
        <v>98</v>
      </c>
      <c r="J13" s="20">
        <v>16.399999999999999</v>
      </c>
      <c r="K13" s="20">
        <v>2</v>
      </c>
      <c r="L13" s="21">
        <v>40</v>
      </c>
      <c r="M13" s="289">
        <f>L13/K13</f>
        <v>20</v>
      </c>
      <c r="N13" s="60" t="s">
        <v>625</v>
      </c>
    </row>
    <row r="14" spans="1:14" x14ac:dyDescent="0.25">
      <c r="A14" s="18">
        <v>6</v>
      </c>
      <c r="B14" s="162" t="s">
        <v>462</v>
      </c>
      <c r="C14" s="162" t="s">
        <v>470</v>
      </c>
      <c r="D14" s="77" t="s">
        <v>641</v>
      </c>
      <c r="E14" s="77" t="s">
        <v>628</v>
      </c>
      <c r="F14" s="6" t="s">
        <v>116</v>
      </c>
      <c r="G14" s="163">
        <v>15</v>
      </c>
      <c r="H14" s="22">
        <v>7.5</v>
      </c>
      <c r="I14" s="19" t="s">
        <v>98</v>
      </c>
      <c r="J14" s="20">
        <v>12.5</v>
      </c>
      <c r="K14" s="20">
        <v>2</v>
      </c>
      <c r="L14" s="21">
        <v>40</v>
      </c>
      <c r="M14" s="289">
        <f>L14/K14</f>
        <v>20</v>
      </c>
      <c r="N14" s="60" t="s">
        <v>625</v>
      </c>
    </row>
    <row r="15" spans="1:14" x14ac:dyDescent="0.25">
      <c r="A15" s="18">
        <v>7</v>
      </c>
      <c r="B15" s="162" t="s">
        <v>465</v>
      </c>
      <c r="C15" s="162" t="s">
        <v>265</v>
      </c>
      <c r="D15" s="77" t="s">
        <v>640</v>
      </c>
      <c r="E15" s="77" t="s">
        <v>628</v>
      </c>
      <c r="F15" s="6" t="s">
        <v>116</v>
      </c>
      <c r="G15" s="163">
        <v>15</v>
      </c>
      <c r="H15" s="22">
        <v>5.5</v>
      </c>
      <c r="I15" s="19" t="s">
        <v>98</v>
      </c>
      <c r="J15" s="20">
        <v>0</v>
      </c>
      <c r="K15" s="20">
        <v>2</v>
      </c>
      <c r="L15" s="21">
        <v>40</v>
      </c>
      <c r="M15" s="289">
        <f>L15/K15</f>
        <v>20</v>
      </c>
      <c r="N15" s="60" t="s">
        <v>625</v>
      </c>
    </row>
    <row r="16" spans="1:14" x14ac:dyDescent="0.25">
      <c r="A16" s="18">
        <v>8</v>
      </c>
      <c r="B16" s="162" t="s">
        <v>462</v>
      </c>
      <c r="C16" s="162" t="s">
        <v>463</v>
      </c>
      <c r="D16" s="77" t="s">
        <v>642</v>
      </c>
      <c r="E16" s="77" t="s">
        <v>628</v>
      </c>
      <c r="F16" s="6" t="s">
        <v>116</v>
      </c>
      <c r="G16" s="163">
        <v>15.5</v>
      </c>
      <c r="H16" s="22">
        <v>5.5</v>
      </c>
      <c r="I16" s="19" t="s">
        <v>98</v>
      </c>
      <c r="J16" s="20">
        <v>20</v>
      </c>
      <c r="K16" s="20">
        <v>2</v>
      </c>
      <c r="L16" s="21">
        <v>40</v>
      </c>
      <c r="M16" s="289">
        <f>L16/K16</f>
        <v>20</v>
      </c>
      <c r="N16" s="60" t="s">
        <v>625</v>
      </c>
    </row>
    <row r="17" spans="1:14" x14ac:dyDescent="0.25">
      <c r="A17" s="80"/>
      <c r="B17" s="252" t="s">
        <v>462</v>
      </c>
      <c r="C17" s="252" t="s">
        <v>477</v>
      </c>
      <c r="D17" s="348" t="s">
        <v>643</v>
      </c>
      <c r="E17" s="216"/>
      <c r="F17" s="253" t="s">
        <v>94</v>
      </c>
      <c r="G17" s="255" t="s">
        <v>42</v>
      </c>
      <c r="H17" s="175" t="s">
        <v>42</v>
      </c>
      <c r="I17" s="254" t="s">
        <v>98</v>
      </c>
      <c r="J17" s="83">
        <v>0</v>
      </c>
      <c r="K17" s="83">
        <v>1</v>
      </c>
      <c r="L17" s="84">
        <v>20</v>
      </c>
      <c r="M17" s="84">
        <f>L17/K17</f>
        <v>20</v>
      </c>
      <c r="N17" s="174" t="s">
        <v>625</v>
      </c>
    </row>
    <row r="18" spans="1:14" s="95" customFormat="1" x14ac:dyDescent="0.25">
      <c r="A18" s="311"/>
      <c r="B18" s="337"/>
      <c r="C18" s="337"/>
      <c r="D18" s="338"/>
      <c r="E18" s="338"/>
      <c r="F18" s="339"/>
      <c r="G18" s="344"/>
      <c r="H18" s="341"/>
      <c r="I18" s="342"/>
      <c r="J18" s="343"/>
      <c r="K18" s="343"/>
      <c r="L18" s="289"/>
      <c r="M18" s="289"/>
      <c r="N18" s="319"/>
    </row>
    <row r="19" spans="1:14" x14ac:dyDescent="0.25">
      <c r="A19" s="80"/>
      <c r="B19" s="252" t="s">
        <v>466</v>
      </c>
      <c r="C19" s="252" t="s">
        <v>467</v>
      </c>
      <c r="D19" s="348" t="s">
        <v>644</v>
      </c>
      <c r="E19" s="216" t="s">
        <v>631</v>
      </c>
      <c r="F19" s="253" t="s">
        <v>116</v>
      </c>
      <c r="G19" s="217">
        <v>11</v>
      </c>
      <c r="H19" s="175">
        <v>5</v>
      </c>
      <c r="I19" s="254" t="s">
        <v>98</v>
      </c>
      <c r="J19" s="83">
        <v>0</v>
      </c>
      <c r="K19" s="83">
        <v>1</v>
      </c>
      <c r="L19" s="84">
        <v>12</v>
      </c>
      <c r="M19" s="84">
        <f>L19/K19</f>
        <v>12</v>
      </c>
      <c r="N19" s="174" t="s">
        <v>625</v>
      </c>
    </row>
    <row r="20" spans="1:14" s="87" customFormat="1" x14ac:dyDescent="0.25">
      <c r="A20" s="80"/>
      <c r="B20" s="252" t="s">
        <v>466</v>
      </c>
      <c r="C20" s="252" t="s">
        <v>467</v>
      </c>
      <c r="D20" s="216" t="s">
        <v>645</v>
      </c>
      <c r="E20" s="216" t="s">
        <v>631</v>
      </c>
      <c r="F20" s="253" t="s">
        <v>116</v>
      </c>
      <c r="G20" s="217">
        <v>14</v>
      </c>
      <c r="H20" s="175">
        <v>8</v>
      </c>
      <c r="I20" s="254" t="s">
        <v>98</v>
      </c>
      <c r="J20" s="83">
        <v>0</v>
      </c>
      <c r="K20" s="310">
        <v>1</v>
      </c>
      <c r="L20" s="84">
        <v>18</v>
      </c>
      <c r="M20" s="84">
        <f>L20/K20</f>
        <v>18</v>
      </c>
      <c r="N20" s="174" t="s">
        <v>625</v>
      </c>
    </row>
    <row r="21" spans="1:14" s="95" customFormat="1" x14ac:dyDescent="0.25">
      <c r="A21" s="311"/>
      <c r="B21" s="337"/>
      <c r="C21" s="337"/>
      <c r="D21" s="338"/>
      <c r="E21" s="338"/>
      <c r="F21" s="339"/>
      <c r="G21" s="340"/>
      <c r="H21" s="341"/>
      <c r="I21" s="342"/>
      <c r="J21" s="343"/>
      <c r="K21" s="343"/>
      <c r="L21" s="289"/>
      <c r="M21" s="289"/>
      <c r="N21" s="319"/>
    </row>
    <row r="22" spans="1:14" x14ac:dyDescent="0.25">
      <c r="A22" s="18">
        <v>9</v>
      </c>
      <c r="B22" s="162" t="s">
        <v>479</v>
      </c>
      <c r="C22" s="162" t="s">
        <v>480</v>
      </c>
      <c r="D22" s="77" t="s">
        <v>647</v>
      </c>
      <c r="E22" s="77" t="s">
        <v>623</v>
      </c>
      <c r="F22" s="6" t="s">
        <v>116</v>
      </c>
      <c r="G22" s="163">
        <v>15</v>
      </c>
      <c r="H22" s="22">
        <v>5.5</v>
      </c>
      <c r="I22" s="19" t="s">
        <v>98</v>
      </c>
      <c r="J22" s="20">
        <v>0</v>
      </c>
      <c r="K22" s="20">
        <v>2</v>
      </c>
      <c r="L22" s="21">
        <v>35</v>
      </c>
      <c r="M22" s="289">
        <f>L22/K22</f>
        <v>17.5</v>
      </c>
      <c r="N22" s="60" t="s">
        <v>429</v>
      </c>
    </row>
    <row r="23" spans="1:14" s="87" customFormat="1" x14ac:dyDescent="0.25">
      <c r="A23" s="18">
        <v>10</v>
      </c>
      <c r="B23" s="162" t="s">
        <v>479</v>
      </c>
      <c r="C23" s="162" t="s">
        <v>480</v>
      </c>
      <c r="D23" s="77" t="s">
        <v>646</v>
      </c>
      <c r="E23" s="77" t="s">
        <v>623</v>
      </c>
      <c r="F23" s="6" t="s">
        <v>116</v>
      </c>
      <c r="G23" s="163">
        <v>16</v>
      </c>
      <c r="H23" s="22">
        <v>5.5</v>
      </c>
      <c r="I23" s="19" t="s">
        <v>98</v>
      </c>
      <c r="J23" s="20">
        <v>0</v>
      </c>
      <c r="K23" s="20">
        <v>2</v>
      </c>
      <c r="L23" s="21">
        <v>38</v>
      </c>
      <c r="M23" s="289">
        <f>L23/K23</f>
        <v>19</v>
      </c>
      <c r="N23" s="60" t="s">
        <v>429</v>
      </c>
    </row>
    <row r="24" spans="1:14" s="95" customFormat="1" x14ac:dyDescent="0.25">
      <c r="A24" s="311"/>
      <c r="B24" s="337"/>
      <c r="C24" s="337"/>
      <c r="D24" s="338"/>
      <c r="E24" s="338"/>
      <c r="F24" s="339"/>
      <c r="G24" s="340"/>
      <c r="H24" s="341"/>
      <c r="I24" s="342"/>
      <c r="J24" s="343"/>
      <c r="K24" s="343"/>
      <c r="L24" s="289"/>
      <c r="M24" s="289"/>
      <c r="N24" s="319"/>
    </row>
    <row r="25" spans="1:14" x14ac:dyDescent="0.25">
      <c r="A25" s="80"/>
      <c r="B25" s="252" t="s">
        <v>393</v>
      </c>
      <c r="C25" s="252" t="s">
        <v>472</v>
      </c>
      <c r="D25" s="348" t="s">
        <v>648</v>
      </c>
      <c r="E25" s="216" t="s">
        <v>623</v>
      </c>
      <c r="F25" s="253" t="s">
        <v>116</v>
      </c>
      <c r="G25" s="217">
        <v>11</v>
      </c>
      <c r="H25" s="175">
        <v>5.5</v>
      </c>
      <c r="I25" s="254" t="s">
        <v>98</v>
      </c>
      <c r="J25" s="83">
        <v>0</v>
      </c>
      <c r="K25" s="83">
        <v>2</v>
      </c>
      <c r="L25" s="84">
        <v>26</v>
      </c>
      <c r="M25" s="84">
        <f>L25/K25</f>
        <v>13</v>
      </c>
      <c r="N25" s="174" t="s">
        <v>625</v>
      </c>
    </row>
    <row r="26" spans="1:14" x14ac:dyDescent="0.25">
      <c r="A26" s="18">
        <v>11</v>
      </c>
      <c r="B26" s="162" t="s">
        <v>393</v>
      </c>
      <c r="C26" s="162" t="s">
        <v>476</v>
      </c>
      <c r="D26" s="77" t="s">
        <v>649</v>
      </c>
      <c r="E26" s="77" t="s">
        <v>623</v>
      </c>
      <c r="F26" s="6" t="s">
        <v>116</v>
      </c>
      <c r="G26" s="163">
        <v>12</v>
      </c>
      <c r="H26" s="22">
        <v>5.5</v>
      </c>
      <c r="I26" s="19" t="s">
        <v>98</v>
      </c>
      <c r="J26" s="20">
        <v>0</v>
      </c>
      <c r="K26" s="20">
        <v>2</v>
      </c>
      <c r="L26" s="21">
        <v>30</v>
      </c>
      <c r="M26" s="289">
        <f>L26/K26</f>
        <v>15</v>
      </c>
      <c r="N26" s="60" t="s">
        <v>625</v>
      </c>
    </row>
    <row r="27" spans="1:14" x14ac:dyDescent="0.25">
      <c r="A27" s="18">
        <v>12</v>
      </c>
      <c r="B27" s="162" t="s">
        <v>393</v>
      </c>
      <c r="C27" s="162" t="s">
        <v>471</v>
      </c>
      <c r="D27" s="77" t="s">
        <v>650</v>
      </c>
      <c r="E27" s="77" t="s">
        <v>623</v>
      </c>
      <c r="F27" s="6" t="s">
        <v>116</v>
      </c>
      <c r="G27" s="163">
        <v>13</v>
      </c>
      <c r="H27" s="22">
        <v>5.5</v>
      </c>
      <c r="I27" s="19" t="s">
        <v>98</v>
      </c>
      <c r="J27" s="20">
        <v>0</v>
      </c>
      <c r="K27" s="20">
        <v>2</v>
      </c>
      <c r="L27" s="21">
        <v>35</v>
      </c>
      <c r="M27" s="289">
        <f>L27/K27</f>
        <v>17.5</v>
      </c>
      <c r="N27" s="60" t="s">
        <v>625</v>
      </c>
    </row>
    <row r="28" spans="1:14" x14ac:dyDescent="0.25">
      <c r="A28" s="18">
        <v>13</v>
      </c>
      <c r="B28" s="162" t="s">
        <v>393</v>
      </c>
      <c r="C28" s="162" t="s">
        <v>464</v>
      </c>
      <c r="D28" s="77" t="s">
        <v>651</v>
      </c>
      <c r="E28" s="77" t="s">
        <v>623</v>
      </c>
      <c r="F28" s="6" t="s">
        <v>116</v>
      </c>
      <c r="G28" s="163">
        <v>14</v>
      </c>
      <c r="H28" s="22">
        <v>5.5</v>
      </c>
      <c r="I28" s="19" t="s">
        <v>98</v>
      </c>
      <c r="J28" s="20">
        <v>0</v>
      </c>
      <c r="K28" s="20">
        <v>2</v>
      </c>
      <c r="L28" s="21">
        <v>40</v>
      </c>
      <c r="M28" s="289">
        <f>L28/K28</f>
        <v>20</v>
      </c>
      <c r="N28" s="60" t="s">
        <v>625</v>
      </c>
    </row>
    <row r="29" spans="1:14" s="95" customFormat="1" x14ac:dyDescent="0.25">
      <c r="A29" s="311"/>
      <c r="B29" s="337"/>
      <c r="C29" s="337"/>
      <c r="D29" s="338"/>
      <c r="E29" s="338"/>
      <c r="F29" s="339"/>
      <c r="G29" s="340"/>
      <c r="H29" s="341"/>
      <c r="I29" s="342"/>
      <c r="J29" s="343"/>
      <c r="K29" s="343"/>
      <c r="L29" s="289"/>
      <c r="M29" s="289"/>
      <c r="N29" s="319"/>
    </row>
    <row r="30" spans="1:14" x14ac:dyDescent="0.25">
      <c r="A30" s="80"/>
      <c r="B30" s="252" t="s">
        <v>460</v>
      </c>
      <c r="C30" s="252" t="s">
        <v>265</v>
      </c>
      <c r="D30" s="216" t="s">
        <v>652</v>
      </c>
      <c r="E30" s="216" t="s">
        <v>42</v>
      </c>
      <c r="F30" s="253" t="s">
        <v>116</v>
      </c>
      <c r="G30" s="217">
        <v>15</v>
      </c>
      <c r="H30" s="86">
        <v>5</v>
      </c>
      <c r="I30" s="86" t="s">
        <v>98</v>
      </c>
      <c r="J30" s="219">
        <v>0</v>
      </c>
      <c r="K30" s="219">
        <v>2</v>
      </c>
      <c r="L30" s="149">
        <v>75</v>
      </c>
      <c r="M30" s="84">
        <f>L30/K30</f>
        <v>37.5</v>
      </c>
      <c r="N30" s="174" t="s">
        <v>625</v>
      </c>
    </row>
    <row r="31" spans="1:14" s="95" customFormat="1" x14ac:dyDescent="0.25">
      <c r="A31" s="311"/>
      <c r="B31" s="337"/>
      <c r="C31" s="337"/>
      <c r="D31" s="338"/>
      <c r="E31" s="338"/>
      <c r="F31" s="339"/>
      <c r="G31" s="340"/>
      <c r="H31" s="346"/>
      <c r="I31" s="346"/>
      <c r="J31" s="347"/>
      <c r="K31" s="347"/>
      <c r="L31" s="289"/>
      <c r="M31" s="289"/>
      <c r="N31" s="323"/>
    </row>
    <row r="32" spans="1:14" s="87" customFormat="1" x14ac:dyDescent="0.25">
      <c r="A32" s="80"/>
      <c r="B32" s="252" t="s">
        <v>482</v>
      </c>
      <c r="C32" s="252" t="s">
        <v>480</v>
      </c>
      <c r="D32" s="216" t="s">
        <v>653</v>
      </c>
      <c r="E32" s="345" t="s">
        <v>626</v>
      </c>
      <c r="F32" s="253" t="s">
        <v>116</v>
      </c>
      <c r="G32" s="217">
        <v>12</v>
      </c>
      <c r="H32" s="175">
        <v>3.8</v>
      </c>
      <c r="I32" s="254" t="s">
        <v>98</v>
      </c>
      <c r="J32" s="83">
        <v>15.4</v>
      </c>
      <c r="K32" s="83">
        <v>2</v>
      </c>
      <c r="L32" s="84">
        <v>20</v>
      </c>
      <c r="M32" s="84">
        <f>L32/K32</f>
        <v>10</v>
      </c>
      <c r="N32" s="174" t="s">
        <v>429</v>
      </c>
    </row>
    <row r="33" spans="1:14" s="87" customFormat="1" x14ac:dyDescent="0.25">
      <c r="A33" s="80"/>
      <c r="B33" s="252" t="s">
        <v>482</v>
      </c>
      <c r="C33" s="252" t="s">
        <v>480</v>
      </c>
      <c r="D33" s="216" t="s">
        <v>654</v>
      </c>
      <c r="E33" s="345" t="s">
        <v>627</v>
      </c>
      <c r="F33" s="253" t="s">
        <v>116</v>
      </c>
      <c r="G33" s="217">
        <v>13</v>
      </c>
      <c r="H33" s="175">
        <v>4</v>
      </c>
      <c r="I33" s="254" t="s">
        <v>98</v>
      </c>
      <c r="J33" s="83">
        <v>0</v>
      </c>
      <c r="K33" s="83">
        <v>2</v>
      </c>
      <c r="L33" s="84">
        <v>20</v>
      </c>
      <c r="M33" s="84">
        <f>L33/K33</f>
        <v>10</v>
      </c>
      <c r="N33" s="174" t="s">
        <v>429</v>
      </c>
    </row>
    <row r="34" spans="1:14" s="87" customFormat="1" x14ac:dyDescent="0.25">
      <c r="A34" s="80"/>
      <c r="B34" s="252" t="s">
        <v>482</v>
      </c>
      <c r="C34" s="252" t="s">
        <v>480</v>
      </c>
      <c r="D34" s="216" t="s">
        <v>655</v>
      </c>
      <c r="E34" s="345" t="s">
        <v>627</v>
      </c>
      <c r="F34" s="253" t="s">
        <v>116</v>
      </c>
      <c r="G34" s="217">
        <v>15</v>
      </c>
      <c r="H34" s="175">
        <v>4</v>
      </c>
      <c r="I34" s="254" t="s">
        <v>98</v>
      </c>
      <c r="J34" s="83">
        <v>17</v>
      </c>
      <c r="K34" s="83">
        <v>2</v>
      </c>
      <c r="L34" s="84">
        <v>29.99</v>
      </c>
      <c r="M34" s="84">
        <f>L34/K34</f>
        <v>14.994999999999999</v>
      </c>
      <c r="N34" s="174" t="s">
        <v>429</v>
      </c>
    </row>
    <row r="35" spans="1:14" s="95" customFormat="1" x14ac:dyDescent="0.25">
      <c r="A35" s="311"/>
      <c r="B35" s="337" t="s">
        <v>482</v>
      </c>
      <c r="C35" s="337" t="s">
        <v>483</v>
      </c>
      <c r="D35" s="338" t="s">
        <v>656</v>
      </c>
      <c r="E35" s="338" t="s">
        <v>623</v>
      </c>
      <c r="F35" s="339" t="s">
        <v>116</v>
      </c>
      <c r="G35" s="340">
        <v>15</v>
      </c>
      <c r="H35" s="341">
        <v>5.5</v>
      </c>
      <c r="I35" s="342" t="s">
        <v>98</v>
      </c>
      <c r="J35" s="343">
        <v>0</v>
      </c>
      <c r="K35" s="343">
        <v>2</v>
      </c>
      <c r="L35" s="289">
        <v>35</v>
      </c>
      <c r="M35" s="289">
        <f>L35/K35</f>
        <v>17.5</v>
      </c>
      <c r="N35" s="323" t="s">
        <v>429</v>
      </c>
    </row>
    <row r="36" spans="1:14" x14ac:dyDescent="0.25">
      <c r="A36" s="80"/>
      <c r="B36" s="252" t="s">
        <v>482</v>
      </c>
      <c r="C36" s="252" t="s">
        <v>483</v>
      </c>
      <c r="D36" s="348" t="s">
        <v>657</v>
      </c>
      <c r="E36" s="216" t="s">
        <v>623</v>
      </c>
      <c r="F36" s="253" t="s">
        <v>116</v>
      </c>
      <c r="G36" s="217">
        <v>17</v>
      </c>
      <c r="H36" s="175">
        <v>5.5</v>
      </c>
      <c r="I36" s="254" t="s">
        <v>98</v>
      </c>
      <c r="J36" s="83">
        <v>0</v>
      </c>
      <c r="K36" s="83">
        <v>2</v>
      </c>
      <c r="L36" s="84">
        <v>45</v>
      </c>
      <c r="M36" s="84">
        <f>L36/K36</f>
        <v>22.5</v>
      </c>
      <c r="N36" s="174" t="s">
        <v>624</v>
      </c>
    </row>
    <row r="37" spans="1:14" s="95" customFormat="1" x14ac:dyDescent="0.25">
      <c r="A37" s="311"/>
      <c r="B37" s="337"/>
      <c r="C37" s="337"/>
      <c r="D37" s="338"/>
      <c r="E37" s="338"/>
      <c r="F37" s="339"/>
      <c r="G37" s="340"/>
      <c r="H37" s="341"/>
      <c r="I37" s="342"/>
      <c r="J37" s="343"/>
      <c r="K37" s="343"/>
      <c r="L37" s="289"/>
      <c r="M37" s="289"/>
      <c r="N37" s="319"/>
    </row>
    <row r="38" spans="1:14" x14ac:dyDescent="0.25">
      <c r="A38" s="18">
        <v>14</v>
      </c>
      <c r="B38" s="162" t="s">
        <v>140</v>
      </c>
      <c r="C38" s="162" t="s">
        <v>622</v>
      </c>
      <c r="D38" s="77" t="s">
        <v>658</v>
      </c>
      <c r="E38" s="77" t="s">
        <v>623</v>
      </c>
      <c r="F38" s="6" t="s">
        <v>116</v>
      </c>
      <c r="G38" s="163">
        <v>12</v>
      </c>
      <c r="H38" s="22">
        <v>5.5</v>
      </c>
      <c r="I38" s="19" t="s">
        <v>98</v>
      </c>
      <c r="J38" s="20">
        <v>11.2</v>
      </c>
      <c r="K38" s="20">
        <v>2</v>
      </c>
      <c r="L38" s="21">
        <v>15</v>
      </c>
      <c r="M38" s="289">
        <f>L38/K38</f>
        <v>7.5</v>
      </c>
      <c r="N38" s="60" t="s">
        <v>429</v>
      </c>
    </row>
    <row r="39" spans="1:14" x14ac:dyDescent="0.25">
      <c r="A39" s="18">
        <v>15</v>
      </c>
      <c r="B39" s="162" t="s">
        <v>140</v>
      </c>
      <c r="C39" s="162" t="s">
        <v>622</v>
      </c>
      <c r="D39" s="77" t="s">
        <v>659</v>
      </c>
      <c r="E39" s="77" t="s">
        <v>623</v>
      </c>
      <c r="F39" s="6" t="s">
        <v>116</v>
      </c>
      <c r="G39" s="163">
        <v>13</v>
      </c>
      <c r="H39" s="22">
        <v>5.5</v>
      </c>
      <c r="I39" s="19" t="s">
        <v>98</v>
      </c>
      <c r="J39" s="20">
        <v>14</v>
      </c>
      <c r="K39" s="20">
        <v>2</v>
      </c>
      <c r="L39" s="21">
        <v>18</v>
      </c>
      <c r="M39" s="289">
        <f>L39/K39</f>
        <v>9</v>
      </c>
      <c r="N39" s="60" t="s">
        <v>429</v>
      </c>
    </row>
    <row r="40" spans="1:14" s="87" customFormat="1" x14ac:dyDescent="0.25">
      <c r="A40" s="18">
        <v>16</v>
      </c>
      <c r="B40" s="162" t="s">
        <v>140</v>
      </c>
      <c r="C40" s="162" t="s">
        <v>622</v>
      </c>
      <c r="D40" s="77" t="s">
        <v>660</v>
      </c>
      <c r="E40" s="77" t="s">
        <v>623</v>
      </c>
      <c r="F40" s="6" t="s">
        <v>116</v>
      </c>
      <c r="G40" s="163">
        <v>15</v>
      </c>
      <c r="H40" s="22">
        <v>5.5</v>
      </c>
      <c r="I40" s="19" t="s">
        <v>98</v>
      </c>
      <c r="J40" s="20">
        <v>18.2</v>
      </c>
      <c r="K40" s="20">
        <v>2</v>
      </c>
      <c r="L40" s="21">
        <v>25</v>
      </c>
      <c r="M40" s="289">
        <f>L40/K40</f>
        <v>12.5</v>
      </c>
      <c r="N40" s="60" t="s">
        <v>429</v>
      </c>
    </row>
    <row r="41" spans="1:14" s="87" customFormat="1" x14ac:dyDescent="0.25">
      <c r="A41" s="18">
        <v>17</v>
      </c>
      <c r="B41" s="162" t="s">
        <v>140</v>
      </c>
      <c r="C41" s="162" t="s">
        <v>622</v>
      </c>
      <c r="D41" s="77" t="s">
        <v>661</v>
      </c>
      <c r="E41" s="77" t="s">
        <v>623</v>
      </c>
      <c r="F41" s="6" t="s">
        <v>116</v>
      </c>
      <c r="G41" s="163">
        <v>16</v>
      </c>
      <c r="H41" s="22">
        <v>5.5</v>
      </c>
      <c r="I41" s="19" t="s">
        <v>98</v>
      </c>
      <c r="J41" s="20">
        <v>23</v>
      </c>
      <c r="K41" s="20">
        <v>2</v>
      </c>
      <c r="L41" s="21">
        <v>28</v>
      </c>
      <c r="M41" s="289">
        <f>L41/K41</f>
        <v>14</v>
      </c>
      <c r="N41" s="60" t="s">
        <v>429</v>
      </c>
    </row>
    <row r="42" spans="1:14" s="87" customFormat="1" x14ac:dyDescent="0.25">
      <c r="A42" s="80">
        <v>1</v>
      </c>
      <c r="B42" s="252" t="s">
        <v>140</v>
      </c>
      <c r="C42" s="252" t="s">
        <v>481</v>
      </c>
      <c r="D42" s="348" t="s">
        <v>662</v>
      </c>
      <c r="E42" s="216" t="s">
        <v>623</v>
      </c>
      <c r="F42" s="253" t="s">
        <v>116</v>
      </c>
      <c r="G42" s="217">
        <v>17</v>
      </c>
      <c r="H42" s="175">
        <v>5.5</v>
      </c>
      <c r="I42" s="254" t="s">
        <v>98</v>
      </c>
      <c r="J42" s="83">
        <v>0</v>
      </c>
      <c r="K42" s="83">
        <v>2</v>
      </c>
      <c r="L42" s="84">
        <v>35</v>
      </c>
      <c r="M42" s="84">
        <f>L42/K42</f>
        <v>17.5</v>
      </c>
      <c r="N42" s="174" t="s">
        <v>429</v>
      </c>
    </row>
    <row r="43" spans="1:14" x14ac:dyDescent="0.25">
      <c r="G43" s="23"/>
      <c r="H43" s="24"/>
      <c r="J43" s="26"/>
      <c r="K43" s="26"/>
    </row>
    <row r="44" spans="1:14" x14ac:dyDescent="0.25">
      <c r="B44" s="178" t="s">
        <v>496</v>
      </c>
      <c r="G44" s="23"/>
      <c r="H44" s="24"/>
      <c r="J44" s="26"/>
      <c r="K44" s="26"/>
    </row>
    <row r="45" spans="1:14" x14ac:dyDescent="0.25">
      <c r="B45" s="124" t="s">
        <v>520</v>
      </c>
      <c r="G45" s="23"/>
      <c r="H45" s="24"/>
      <c r="J45" s="26"/>
      <c r="K45" s="26"/>
    </row>
    <row r="46" spans="1:14" x14ac:dyDescent="0.25">
      <c r="G46" s="23"/>
      <c r="H46" s="24"/>
      <c r="J46" s="26"/>
      <c r="K46" s="26"/>
    </row>
    <row r="47" spans="1:14" x14ac:dyDescent="0.25">
      <c r="B47" s="178" t="s">
        <v>513</v>
      </c>
    </row>
    <row r="48" spans="1:14" x14ac:dyDescent="0.25">
      <c r="B48" s="349" t="s">
        <v>524</v>
      </c>
    </row>
    <row r="49" spans="2:2" x14ac:dyDescent="0.25">
      <c r="B49" s="171" t="s">
        <v>309</v>
      </c>
    </row>
    <row r="50" spans="2:2" x14ac:dyDescent="0.25">
      <c r="B50" s="173" t="s">
        <v>525</v>
      </c>
    </row>
    <row r="52" spans="2:2" x14ac:dyDescent="0.25">
      <c r="B52" s="258" t="s">
        <v>528</v>
      </c>
    </row>
    <row r="53" spans="2:2" x14ac:dyDescent="0.25">
      <c r="B53" t="s">
        <v>520</v>
      </c>
    </row>
    <row r="55" spans="2:2" x14ac:dyDescent="0.25">
      <c r="B55" s="87" t="s">
        <v>561</v>
      </c>
    </row>
    <row r="56" spans="2:2" x14ac:dyDescent="0.25">
      <c r="B56" s="297" t="s">
        <v>581</v>
      </c>
    </row>
    <row r="58" spans="2:2" x14ac:dyDescent="0.25">
      <c r="B58" s="87" t="s">
        <v>593</v>
      </c>
    </row>
    <row r="59" spans="2:2" x14ac:dyDescent="0.25">
      <c r="B59" s="275" t="s">
        <v>629</v>
      </c>
    </row>
    <row r="60" spans="2:2" x14ac:dyDescent="0.25">
      <c r="B60" s="172" t="s">
        <v>589</v>
      </c>
    </row>
    <row r="62" spans="2:2" x14ac:dyDescent="0.25">
      <c r="B62" s="87" t="s">
        <v>663</v>
      </c>
    </row>
  </sheetData>
  <sortState ref="A3:N30">
    <sortCondition ref="B3:B30"/>
    <sortCondition ref="G3:G30"/>
    <sortCondition ref="C3:C30"/>
  </sortState>
  <phoneticPr fontId="9" type="noConversion"/>
  <hyperlinks>
    <hyperlink ref="N30" r:id="rId1"/>
    <hyperlink ref="N33" r:id="rId2"/>
    <hyperlink ref="N5" r:id="rId3"/>
    <hyperlink ref="N36" r:id="rId4"/>
    <hyperlink ref="N35" r:id="rId5"/>
    <hyperlink ref="N34" r:id="rId6"/>
    <hyperlink ref="N32" r:id="rId7"/>
    <hyperlink ref="N22" r:id="rId8"/>
    <hyperlink ref="N23" r:id="rId9"/>
    <hyperlink ref="N25" r:id="rId10"/>
    <hyperlink ref="N26" r:id="rId11"/>
    <hyperlink ref="N27" r:id="rId12"/>
    <hyperlink ref="N28" r:id="rId13"/>
    <hyperlink ref="N38" r:id="rId14"/>
    <hyperlink ref="N39" r:id="rId15"/>
    <hyperlink ref="N40" r:id="rId16"/>
    <hyperlink ref="N41" r:id="rId17"/>
    <hyperlink ref="N42" r:id="rId18"/>
    <hyperlink ref="N15" r:id="rId19"/>
    <hyperlink ref="N16" r:id="rId20"/>
    <hyperlink ref="N14" r:id="rId21"/>
    <hyperlink ref="N20" r:id="rId22"/>
    <hyperlink ref="N19" r:id="rId23"/>
    <hyperlink ref="N13" r:id="rId24"/>
    <hyperlink ref="N7" r:id="rId25"/>
    <hyperlink ref="N8" r:id="rId26"/>
    <hyperlink ref="N17" r:id="rId27"/>
    <hyperlink ref="N12" r:id="rId28"/>
    <hyperlink ref="N11" r:id="rId29"/>
    <hyperlink ref="N10" r:id="rId30"/>
    <hyperlink ref="N9" r:id="rId31"/>
    <hyperlink ref="N3" r:id="rId32"/>
    <hyperlink ref="N4" r:id="rId33"/>
  </hyperlinks>
  <pageMargins left="0.7" right="0.7" top="0.75" bottom="0.75" header="0.3" footer="0.3"/>
  <pageSetup scale="66" orientation="portrait" horizontalDpi="4294967292" verticalDpi="4294967292" r:id="rId34"/>
  <extLst>
    <ext xmlns:mx="http://schemas.microsoft.com/office/mac/excel/2008/main" uri="{64002731-A6B0-56B0-2670-7721B7C09600}">
      <mx:PLV Mode="1" OnePage="0" WScale="10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3" sqref="S3:S4"/>
    </sheetView>
  </sheetViews>
  <sheetFormatPr defaultColWidth="8.875" defaultRowHeight="15.75" x14ac:dyDescent="0.25"/>
  <cols>
    <col min="1" max="1" width="5" bestFit="1" customWidth="1"/>
    <col min="2" max="2" width="17.125" bestFit="1" customWidth="1"/>
    <col min="3" max="3" width="10.5" bestFit="1" customWidth="1"/>
    <col min="4" max="4" width="8.5" bestFit="1" customWidth="1"/>
    <col min="5" max="5" width="5.875" bestFit="1" customWidth="1"/>
    <col min="6" max="6" width="5.125" bestFit="1" customWidth="1"/>
    <col min="7" max="8" width="5.125" customWidth="1"/>
    <col min="9" max="9" width="5" bestFit="1" customWidth="1"/>
    <col min="10" max="10" width="13.37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875" bestFit="1" customWidth="1"/>
    <col min="16" max="16" width="9.125" bestFit="1" customWidth="1"/>
    <col min="17" max="17" width="8.625" bestFit="1" customWidth="1"/>
    <col min="18" max="18" width="9" customWidth="1"/>
    <col min="19" max="19" width="13.625" bestFit="1" customWidth="1"/>
  </cols>
  <sheetData>
    <row r="1" spans="1:21" x14ac:dyDescent="0.25">
      <c r="A1" t="s">
        <v>55</v>
      </c>
    </row>
    <row r="2" spans="1:21" ht="165.75" x14ac:dyDescent="0.25">
      <c r="A2" s="1" t="s">
        <v>149</v>
      </c>
      <c r="B2" s="2" t="s">
        <v>28</v>
      </c>
      <c r="C2" s="2" t="s">
        <v>29</v>
      </c>
      <c r="D2" s="2" t="s">
        <v>30</v>
      </c>
      <c r="E2" s="14" t="s">
        <v>150</v>
      </c>
      <c r="F2" s="2" t="s">
        <v>151</v>
      </c>
      <c r="G2" s="2" t="s">
        <v>166</v>
      </c>
      <c r="H2" s="2" t="s">
        <v>167</v>
      </c>
      <c r="I2" s="2" t="s">
        <v>168</v>
      </c>
      <c r="J2" s="2" t="s">
        <v>164</v>
      </c>
      <c r="K2" s="2" t="s">
        <v>37</v>
      </c>
      <c r="L2" s="2" t="s">
        <v>155</v>
      </c>
      <c r="M2" s="2" t="s">
        <v>160</v>
      </c>
      <c r="N2" s="2" t="s">
        <v>156</v>
      </c>
      <c r="O2" s="2" t="s">
        <v>152</v>
      </c>
      <c r="P2" s="2" t="s">
        <v>182</v>
      </c>
      <c r="Q2" s="15" t="s">
        <v>154</v>
      </c>
      <c r="R2" s="16" t="s">
        <v>185</v>
      </c>
      <c r="S2" s="16" t="s">
        <v>14</v>
      </c>
      <c r="T2" s="17"/>
      <c r="U2" s="17"/>
    </row>
    <row r="3" spans="1:21" s="172" customFormat="1" x14ac:dyDescent="0.25">
      <c r="A3" s="212">
        <v>1</v>
      </c>
      <c r="B3" s="260" t="s">
        <v>157</v>
      </c>
      <c r="C3" s="260" t="s">
        <v>158</v>
      </c>
      <c r="D3" s="261" t="s">
        <v>159</v>
      </c>
      <c r="E3" s="262" t="s">
        <v>165</v>
      </c>
      <c r="F3" s="263" t="s">
        <v>94</v>
      </c>
      <c r="G3" s="263">
        <v>68.3</v>
      </c>
      <c r="H3" s="263">
        <v>51.3</v>
      </c>
      <c r="I3" s="263">
        <v>21.4</v>
      </c>
      <c r="J3" s="264" t="s">
        <v>178</v>
      </c>
      <c r="K3" s="264">
        <v>88</v>
      </c>
      <c r="L3" s="264" t="s">
        <v>161</v>
      </c>
      <c r="M3" s="264" t="s">
        <v>162</v>
      </c>
      <c r="N3" s="264" t="s">
        <v>94</v>
      </c>
      <c r="O3" s="265">
        <v>99.99</v>
      </c>
      <c r="P3" s="265" t="s">
        <v>183</v>
      </c>
      <c r="Q3" s="266">
        <v>99.85</v>
      </c>
      <c r="R3" s="266">
        <f>O3+Q3</f>
        <v>199.83999999999997</v>
      </c>
      <c r="S3" s="267" t="s">
        <v>163</v>
      </c>
    </row>
    <row r="4" spans="1:21" s="87" customFormat="1" x14ac:dyDescent="0.25">
      <c r="A4" s="80">
        <v>2</v>
      </c>
      <c r="B4" s="254" t="s">
        <v>179</v>
      </c>
      <c r="C4" s="254" t="s">
        <v>158</v>
      </c>
      <c r="D4" s="253" t="s">
        <v>180</v>
      </c>
      <c r="E4" s="82"/>
      <c r="F4" s="175"/>
      <c r="G4" s="175">
        <v>55</v>
      </c>
      <c r="H4" s="175">
        <v>50</v>
      </c>
      <c r="I4" s="254">
        <v>25</v>
      </c>
      <c r="J4" s="254"/>
      <c r="K4" s="83">
        <v>80</v>
      </c>
      <c r="L4" s="83"/>
      <c r="M4" s="83" t="s">
        <v>181</v>
      </c>
      <c r="N4" s="83"/>
      <c r="O4" s="259">
        <v>29.95</v>
      </c>
      <c r="P4" s="259" t="s">
        <v>184</v>
      </c>
      <c r="Q4" s="84">
        <v>99.95</v>
      </c>
      <c r="R4" s="84">
        <f>O4*12+Q4</f>
        <v>459.34999999999997</v>
      </c>
      <c r="S4" s="218"/>
    </row>
    <row r="5" spans="1:21" x14ac:dyDescent="0.25">
      <c r="A5" s="39"/>
      <c r="B5" s="39"/>
      <c r="C5" s="39"/>
      <c r="D5" s="50"/>
      <c r="E5" s="40"/>
      <c r="F5" s="47"/>
      <c r="G5" s="47"/>
      <c r="H5" s="47"/>
      <c r="I5" s="39"/>
      <c r="J5" s="39"/>
      <c r="K5" s="51"/>
      <c r="L5" s="51"/>
      <c r="M5" s="51"/>
      <c r="N5" s="51"/>
      <c r="O5" s="51"/>
      <c r="P5" s="51"/>
      <c r="Q5" s="52"/>
      <c r="R5" s="52"/>
      <c r="S5" s="170">
        <f ca="1">NOW()</f>
        <v>41834.848649884261</v>
      </c>
      <c r="T5" s="43"/>
      <c r="U5" s="43"/>
    </row>
    <row r="6" spans="1:21" x14ac:dyDescent="0.25">
      <c r="A6" s="43"/>
      <c r="B6" s="258" t="s">
        <v>496</v>
      </c>
      <c r="C6" s="54"/>
      <c r="D6" s="55"/>
      <c r="E6" s="56"/>
      <c r="F6" s="57"/>
      <c r="G6" s="57"/>
      <c r="H6" s="57"/>
      <c r="I6" s="55"/>
      <c r="J6" s="55"/>
      <c r="K6" s="26"/>
      <c r="L6" s="26"/>
      <c r="M6" s="26"/>
      <c r="N6" s="26"/>
      <c r="O6" s="26"/>
      <c r="P6" s="26"/>
      <c r="T6" s="43"/>
      <c r="U6" s="43"/>
    </row>
    <row r="7" spans="1:21" x14ac:dyDescent="0.25">
      <c r="B7" s="172" t="s">
        <v>529</v>
      </c>
      <c r="E7" s="23"/>
      <c r="F7" s="24"/>
      <c r="G7" s="24"/>
      <c r="H7" s="24"/>
      <c r="K7" s="26"/>
      <c r="L7" s="26"/>
      <c r="M7" s="26"/>
      <c r="N7" s="26"/>
      <c r="O7" s="26"/>
      <c r="P7" s="26"/>
    </row>
    <row r="8" spans="1:21" x14ac:dyDescent="0.25">
      <c r="E8" s="23"/>
      <c r="F8" s="24"/>
      <c r="G8" s="24"/>
      <c r="H8" s="24"/>
      <c r="K8" s="26"/>
      <c r="L8" s="26"/>
      <c r="M8" s="26"/>
      <c r="N8" s="26"/>
      <c r="O8" s="26"/>
      <c r="P8" s="26"/>
    </row>
    <row r="9" spans="1:21" x14ac:dyDescent="0.25">
      <c r="E9" s="23"/>
      <c r="F9" s="24"/>
      <c r="G9" s="24"/>
      <c r="H9" s="24"/>
      <c r="K9" s="26"/>
      <c r="L9" s="26"/>
      <c r="M9" s="26"/>
      <c r="N9" s="26"/>
      <c r="O9" s="26"/>
      <c r="P9" s="26"/>
    </row>
    <row r="10" spans="1:21" x14ac:dyDescent="0.25">
      <c r="E10" s="23"/>
      <c r="F10" s="24"/>
      <c r="G10" s="24"/>
      <c r="H10" s="24"/>
      <c r="K10" s="26"/>
      <c r="L10" s="26"/>
      <c r="M10" s="26"/>
      <c r="N10" s="26"/>
      <c r="O10" s="26"/>
      <c r="P10" s="26"/>
    </row>
    <row r="33" spans="4:4" x14ac:dyDescent="0.25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"/>
  <sheetViews>
    <sheetView workbookViewId="0">
      <selection activeCell="B13" sqref="B13"/>
    </sheetView>
  </sheetViews>
  <sheetFormatPr defaultColWidth="8.875" defaultRowHeight="15.75" x14ac:dyDescent="0.25"/>
  <cols>
    <col min="1" max="1" width="4.625" bestFit="1" customWidth="1"/>
    <col min="2" max="2" width="9.5" bestFit="1" customWidth="1"/>
    <col min="3" max="3" width="4.625" bestFit="1" customWidth="1"/>
    <col min="4" max="4" width="4.625" customWidth="1"/>
    <col min="5" max="5" width="4.875" bestFit="1" customWidth="1"/>
    <col min="6" max="6" width="4.625" bestFit="1" customWidth="1"/>
    <col min="7" max="7" width="4.875" bestFit="1" customWidth="1"/>
    <col min="8" max="10" width="4.625" bestFit="1" customWidth="1"/>
    <col min="11" max="11" width="13.375" bestFit="1" customWidth="1"/>
    <col min="12" max="12" width="4.625" customWidth="1"/>
    <col min="13" max="16" width="4.625" bestFit="1" customWidth="1"/>
    <col min="17" max="17" width="13.125" customWidth="1"/>
    <col min="18" max="18" width="15" customWidth="1"/>
    <col min="19" max="19" width="16.625" bestFit="1" customWidth="1"/>
    <col min="20" max="20" width="9.5" bestFit="1" customWidth="1"/>
    <col min="21" max="21" width="14.375" bestFit="1" customWidth="1"/>
    <col min="22" max="22" width="14.5" bestFit="1" customWidth="1"/>
  </cols>
  <sheetData>
    <row r="1" spans="1:22" ht="1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 x14ac:dyDescent="0.25">
      <c r="A2" s="5">
        <v>2</v>
      </c>
      <c r="B2" s="6" t="s">
        <v>15</v>
      </c>
      <c r="C2" s="30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29">
        <v>53</v>
      </c>
      <c r="J2" s="29">
        <v>1</v>
      </c>
      <c r="K2" s="31" t="s">
        <v>65</v>
      </c>
      <c r="L2" s="31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3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 x14ac:dyDescent="0.25">
      <c r="A3" s="5">
        <v>1</v>
      </c>
      <c r="B3" s="6" t="s">
        <v>21</v>
      </c>
      <c r="C3" s="30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28">
        <v>31</v>
      </c>
      <c r="J3" s="28">
        <v>4</v>
      </c>
      <c r="K3" s="31" t="s">
        <v>67</v>
      </c>
      <c r="L3" s="32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3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 x14ac:dyDescent="0.25">
      <c r="A4" s="5">
        <v>3</v>
      </c>
      <c r="B4" s="6" t="s">
        <v>19</v>
      </c>
      <c r="C4" s="30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29">
        <v>51</v>
      </c>
      <c r="J4" s="29">
        <v>2</v>
      </c>
      <c r="K4" s="31" t="s">
        <v>65</v>
      </c>
      <c r="L4" s="31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3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 x14ac:dyDescent="0.25">
      <c r="A5" s="5">
        <v>4</v>
      </c>
      <c r="B5" s="6" t="s">
        <v>17</v>
      </c>
      <c r="C5" s="30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29">
        <v>37</v>
      </c>
      <c r="J5" s="29">
        <v>3</v>
      </c>
      <c r="K5" s="31" t="s">
        <v>66</v>
      </c>
      <c r="L5" s="31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3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 x14ac:dyDescent="0.25">
      <c r="M6" s="497">
        <f ca="1">NOW()</f>
        <v>41834.848649884261</v>
      </c>
      <c r="N6" s="497"/>
      <c r="O6" s="497"/>
      <c r="P6" s="497"/>
      <c r="V6" s="34">
        <f ca="1">NOW()</f>
        <v>41834.848649884261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r:id="rId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60</vt:i4>
      </vt:variant>
    </vt:vector>
  </HeadingPairs>
  <TitlesOfParts>
    <vt:vector size="76" baseType="lpstr">
      <vt:lpstr>BOM Summary</vt:lpstr>
      <vt:lpstr>Budget</vt:lpstr>
      <vt:lpstr>Thank you Round</vt:lpstr>
      <vt:lpstr>Sheet1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  <vt:lpstr>Acc_Brand</vt:lpstr>
      <vt:lpstr>Acc_Link</vt:lpstr>
      <vt:lpstr>Acc_Mass</vt:lpstr>
      <vt:lpstr>Acc_Model</vt:lpstr>
      <vt:lpstr>Acc_Price</vt:lpstr>
      <vt:lpstr>Bat_Brand</vt:lpstr>
      <vt:lpstr>Bat_Link</vt:lpstr>
      <vt:lpstr>Bat_Mass</vt:lpstr>
      <vt:lpstr>Bat_Model</vt:lpstr>
      <vt:lpstr>Bat_Price</vt:lpstr>
      <vt:lpstr>Cam_Link</vt:lpstr>
      <vt:lpstr>Camera_Brand</vt:lpstr>
      <vt:lpstr>Camera_Model</vt:lpstr>
      <vt:lpstr>Camera_Price</vt:lpstr>
      <vt:lpstr>ESC_Brand</vt:lpstr>
      <vt:lpstr>ESC_Link</vt:lpstr>
      <vt:lpstr>ESC_Mass</vt:lpstr>
      <vt:lpstr>ESC_Model</vt:lpstr>
      <vt:lpstr>ESC_Model2</vt:lpstr>
      <vt:lpstr>ESC_Model3</vt:lpstr>
      <vt:lpstr>ESC_Price</vt:lpstr>
      <vt:lpstr>FC_Brand</vt:lpstr>
      <vt:lpstr>FC_Link</vt:lpstr>
      <vt:lpstr>FC_Mass</vt:lpstr>
      <vt:lpstr>FC_Model</vt:lpstr>
      <vt:lpstr>FC_Price</vt:lpstr>
      <vt:lpstr>Frame_Brand</vt:lpstr>
      <vt:lpstr>Frame_Line</vt:lpstr>
      <vt:lpstr>Frame_Link</vt:lpstr>
      <vt:lpstr>Frame_Mass</vt:lpstr>
      <vt:lpstr>Frame_Model</vt:lpstr>
      <vt:lpstr>Frame_Price</vt:lpstr>
      <vt:lpstr>Framemass</vt:lpstr>
      <vt:lpstr>Gimbal_Brand</vt:lpstr>
      <vt:lpstr>Gimbal_Brand2</vt:lpstr>
      <vt:lpstr>Gimbal_Link</vt:lpstr>
      <vt:lpstr>Gimbal_Mass</vt:lpstr>
      <vt:lpstr>Gimbal_Model</vt:lpstr>
      <vt:lpstr>Gimbal_Price</vt:lpstr>
      <vt:lpstr>Motor_Brand</vt:lpstr>
      <vt:lpstr>Motor_Link</vt:lpstr>
      <vt:lpstr>Motor_Mass</vt:lpstr>
      <vt:lpstr>Motor_Model</vt:lpstr>
      <vt:lpstr>Motor_Price</vt:lpstr>
      <vt:lpstr>Number_of_Motors</vt:lpstr>
      <vt:lpstr>Prop_Brand</vt:lpstr>
      <vt:lpstr>Prop_Link</vt:lpstr>
      <vt:lpstr>Prop_Mass</vt:lpstr>
      <vt:lpstr>Prop_Model</vt:lpstr>
      <vt:lpstr>Prop_Price</vt:lpstr>
      <vt:lpstr>RC_Brand</vt:lpstr>
      <vt:lpstr>RC_Link</vt:lpstr>
      <vt:lpstr>RC_Mass</vt:lpstr>
      <vt:lpstr>RC_Model</vt:lpstr>
      <vt:lpstr>RC_Model2</vt:lpstr>
      <vt:lpstr>RC_Price</vt:lpstr>
      <vt:lpstr>Tx_Brand</vt:lpstr>
      <vt:lpstr>Tx_Link</vt:lpstr>
      <vt:lpstr>Tx_Model</vt:lpstr>
      <vt:lpstr>Tx_Price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2014-04-16T20:00:52Z</cp:lastPrinted>
  <dcterms:created xsi:type="dcterms:W3CDTF">2013-08-04T21:53:47Z</dcterms:created>
  <dcterms:modified xsi:type="dcterms:W3CDTF">2014-08-01T22:13:19Z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APC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APC 12x5.5</vt:lpwstr>
  </property>
  <property fmtid="{D5CDD505-2E9C-101B-9397-08002B2CF9AE}" pid="5" name="Price" linkTarget="Prop_Price">
    <vt:r8>4</vt:r8>
  </property>
  <property fmtid="{D5CDD505-2E9C-101B-9397-08002B2CF9AE}" pid="6" name="Link" linkTarget="Prop_Link">
    <vt:lpwstr>http://www.rc-drones.com</vt:lpwstr>
  </property>
</Properties>
</file>