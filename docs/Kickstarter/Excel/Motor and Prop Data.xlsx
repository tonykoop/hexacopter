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ny\Dropbox\Kickstarter TK\"/>
    </mc:Choice>
  </mc:AlternateContent>
  <bookViews>
    <workbookView xWindow="0" yWindow="0" windowWidth="28800" windowHeight="12585"/>
  </bookViews>
  <sheets>
    <sheet name="M-4010-360KV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C34" i="1"/>
  <c r="B22" i="1"/>
  <c r="C22" i="1"/>
  <c r="B11" i="1"/>
  <c r="C11" i="1"/>
  <c r="C3" i="1"/>
  <c r="B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C4" i="1"/>
  <c r="B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C5" i="1"/>
  <c r="B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C6" i="1"/>
  <c r="B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C7" i="1"/>
  <c r="B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C8" i="1"/>
  <c r="B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C9" i="1"/>
  <c r="B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C10" i="1"/>
  <c r="B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C12" i="1"/>
  <c r="B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C13" i="1"/>
  <c r="B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C14" i="1"/>
  <c r="B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C15" i="1"/>
  <c r="B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C16" i="1"/>
  <c r="B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C17" i="1"/>
  <c r="B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C18" i="1"/>
  <c r="B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C19" i="1"/>
  <c r="B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C20" i="1"/>
  <c r="B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C21" i="1"/>
  <c r="B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C23" i="1"/>
  <c r="B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C24" i="1"/>
  <c r="B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C25" i="1"/>
  <c r="B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C26" i="1"/>
  <c r="B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C27" i="1"/>
  <c r="B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C28" i="1"/>
  <c r="B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C29" i="1"/>
  <c r="B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C30" i="1"/>
  <c r="B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C31" i="1"/>
  <c r="B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C32" i="1"/>
  <c r="B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C33" i="1"/>
  <c r="B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C35" i="1"/>
  <c r="B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C36" i="1"/>
  <c r="B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C37" i="1"/>
  <c r="B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C38" i="1"/>
  <c r="B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C39" i="1"/>
  <c r="B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C40" i="1"/>
  <c r="B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C41" i="1"/>
  <c r="B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C42" i="1"/>
  <c r="B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C43" i="1"/>
  <c r="B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C2" i="1"/>
  <c r="B2" i="1"/>
  <c r="E2" i="1"/>
  <c r="G2" i="1"/>
  <c r="F2" i="1"/>
  <c r="I2" i="1"/>
  <c r="K2" i="1"/>
  <c r="J2" i="1"/>
  <c r="M2" i="1"/>
  <c r="O2" i="1"/>
  <c r="N2" i="1"/>
  <c r="Q2" i="1"/>
  <c r="R2" i="1"/>
  <c r="S2" i="1"/>
  <c r="T2" i="1"/>
  <c r="U2" i="1"/>
  <c r="P2" i="1"/>
  <c r="L2" i="1"/>
  <c r="H2" i="1"/>
  <c r="D3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D43" i="1"/>
  <c r="D2" i="1"/>
</calcChain>
</file>

<file path=xl/sharedStrings.xml><?xml version="1.0" encoding="utf-8"?>
<sst xmlns="http://schemas.openxmlformats.org/spreadsheetml/2006/main" count="139" uniqueCount="98">
  <si>
    <t>TL2830 14*5.5 11.13 4.34 3650 550</t>
  </si>
  <si>
    <t>TL2831 15*5.5 11.1 6 3475 925</t>
  </si>
  <si>
    <t>TL2813 15*5.5 11.22 4.78 3600 675</t>
  </si>
  <si>
    <t>TL2834 15*7.5 11.11 4.45 3600 600</t>
  </si>
  <si>
    <t>TL2814 16*5.0 11.12 8.83 3275 925</t>
  </si>
  <si>
    <t>TL2835 16*5.5 11.15 8.16 3325 925</t>
  </si>
  <si>
    <t>TL2815 17*5.5 11.11 7.48 3400 975</t>
  </si>
  <si>
    <t>TL2822 18*5.5 11.1 10.23 3175 1200</t>
  </si>
  <si>
    <t>TL2828 12*5.5 14.82 4 4925 525</t>
  </si>
  <si>
    <t>TL2829 13*5.5 14.82 5.68 4775 850</t>
  </si>
  <si>
    <t>TL2830 14*5.5 17.85 7.19 4675 975</t>
  </si>
  <si>
    <t>TL2831 15*5.5 14.8 10 4400 1300</t>
  </si>
  <si>
    <t>TL2813 15*5.5 14.85 7.69 4600 1125</t>
  </si>
  <si>
    <t>TL2834 15*7.5 14.82 7.26 4625 1050</t>
  </si>
  <si>
    <t>TL2814 16*5.0 14.8 14 4100 1400</t>
  </si>
  <si>
    <t>TL2835 16*5.5 14.81 12.92 4175 1475</t>
  </si>
  <si>
    <t>TL2815 17*5.5 14.8 11.63 4275 1600</t>
  </si>
  <si>
    <t>TL2822 18*5.5 14.85 15.75 3975 1850</t>
  </si>
  <si>
    <t>TL2827 11*5.5 18.53 4.33 6150 600</t>
  </si>
  <si>
    <t>TL2828 12*5.5 18.51 5.77 6000 850</t>
  </si>
  <si>
    <t>TL2829 13*5.5 18.52 8.39 5800 1225</t>
  </si>
  <si>
    <t>TL2830 14*5.5 18.55 10.75 5550 1450</t>
  </si>
  <si>
    <t>TL2831 15*5.5 18.5 14.87 5225 1900</t>
  </si>
  <si>
    <t>TL2813 15*5.5 18.53 10.86 5525 1625</t>
  </si>
  <si>
    <t>TL2834 15*7.5 18.53 10.7 5575 1550</t>
  </si>
  <si>
    <t>TL2814 16*5.0 18.5 21.05 4750 1950</t>
  </si>
  <si>
    <t>TL2835 16*5.5 18.54 19.21 4925 2075</t>
  </si>
  <si>
    <t>TL2815 17*5.5 18.5 16.78 5100 2275</t>
  </si>
  <si>
    <t>TL2822 18*5.5 18.52 21.62 4675 2650</t>
  </si>
  <si>
    <t>TL2826 10*5.5 22.32 3.72 7525 575</t>
  </si>
  <si>
    <t>TL2827 11*5.5 22.27 6 7250 950</t>
  </si>
  <si>
    <t>TL2828 12*5.5 22.27 8.11 7050 1225</t>
  </si>
  <si>
    <t>TL2829 13*5.5 22.29 11.5 6750 1675</t>
  </si>
  <si>
    <t>TL2830 14*5.5 22.53 15.3 6475 2100</t>
  </si>
  <si>
    <t>TL2831 15*5.5 22.57 20.65 6050 2700</t>
  </si>
  <si>
    <t>TL2813 15*5.5 22.3 14.56 6450 2175</t>
  </si>
  <si>
    <t>TL2834 15*7.5 22.19 14.47 6425 2100</t>
  </si>
  <si>
    <t>M-4010-360KV</t>
  </si>
  <si>
    <t>4S</t>
  </si>
  <si>
    <t>5S</t>
  </si>
  <si>
    <t>PROP V A RPM TRUST(g) TRUST(g)</t>
  </si>
  <si>
    <t>Space</t>
  </si>
  <si>
    <t>Length</t>
  </si>
  <si>
    <t>Space 2</t>
  </si>
  <si>
    <t>Space 3</t>
  </si>
  <si>
    <t>Space 4</t>
  </si>
  <si>
    <t>Space 5</t>
  </si>
  <si>
    <t>Length 2</t>
  </si>
  <si>
    <t>Length 3</t>
  </si>
  <si>
    <t>Remain</t>
  </si>
  <si>
    <t>Value</t>
  </si>
  <si>
    <t>Value 2</t>
  </si>
  <si>
    <t>Remain 2</t>
  </si>
  <si>
    <t>Value 3</t>
  </si>
  <si>
    <t>Remain 3</t>
  </si>
  <si>
    <t>Length 4</t>
  </si>
  <si>
    <t>Value 4</t>
  </si>
  <si>
    <t>Remain 4</t>
  </si>
  <si>
    <t>Length 5</t>
  </si>
  <si>
    <t>Value 5</t>
  </si>
  <si>
    <t>Remain 5</t>
  </si>
  <si>
    <t>PropModel PROP V A RPM THRUST(g)</t>
  </si>
  <si>
    <t>TL2815 17*5.5 22.13 22.02 5725 2925</t>
  </si>
  <si>
    <t>6S</t>
  </si>
  <si>
    <t>PROP</t>
  </si>
  <si>
    <t>V</t>
  </si>
  <si>
    <t>14*5.5</t>
  </si>
  <si>
    <t>11.13</t>
  </si>
  <si>
    <t>15*5.5</t>
  </si>
  <si>
    <t>11.1</t>
  </si>
  <si>
    <t>11.22</t>
  </si>
  <si>
    <t>15*7.5</t>
  </si>
  <si>
    <t>11.11</t>
  </si>
  <si>
    <t>16*5.0</t>
  </si>
  <si>
    <t>11.12</t>
  </si>
  <si>
    <t>16*5.5</t>
  </si>
  <si>
    <t>11.15</t>
  </si>
  <si>
    <t>17*5.5</t>
  </si>
  <si>
    <t>18*5.5</t>
  </si>
  <si>
    <t>14.82</t>
  </si>
  <si>
    <t>17.85</t>
  </si>
  <si>
    <t>14.8</t>
  </si>
  <si>
    <t>14.85</t>
  </si>
  <si>
    <t>14.81</t>
  </si>
  <si>
    <t>18.53</t>
  </si>
  <si>
    <t>18.51</t>
  </si>
  <si>
    <t>18.52</t>
  </si>
  <si>
    <t>18.55</t>
  </si>
  <si>
    <t>18.5</t>
  </si>
  <si>
    <t>18.54</t>
  </si>
  <si>
    <t>22.32</t>
  </si>
  <si>
    <t>22.27</t>
  </si>
  <si>
    <t>22.29</t>
  </si>
  <si>
    <t>22.53</t>
  </si>
  <si>
    <t>22.57</t>
  </si>
  <si>
    <t>22.3</t>
  </si>
  <si>
    <t>22.19</t>
  </si>
  <si>
    <t>22.13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</si>
</sst>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topLeftCell="A13" workbookViewId="0">
      <selection activeCell="AI18" sqref="AI18"/>
    </sheetView>
  </sheetViews>
  <sheetFormatPr defaultRowHeight="15" x14ac:dyDescent="0.25"/>
  <cols>
    <col min="1" max="1" width="34.42578125" bestFit="1" customWidth="1"/>
    <col min="2" max="3" width="0" hidden="1" customWidth="1"/>
    <col min="4" max="4" width="10.85546875" bestFit="1" customWidth="1"/>
    <col min="5" max="5" width="35.28515625" hidden="1" customWidth="1"/>
    <col min="6" max="7" width="0" hidden="1" customWidth="1"/>
    <col min="8" max="8" width="7.5703125" bestFit="1" customWidth="1"/>
    <col min="9" max="9" width="31" hidden="1" customWidth="1"/>
    <col min="10" max="11" width="0" hidden="1" customWidth="1"/>
    <col min="12" max="12" width="7.5703125" bestFit="1" customWidth="1"/>
    <col min="13" max="13" width="25.5703125" hidden="1" customWidth="1"/>
    <col min="14" max="15" width="0" hidden="1" customWidth="1"/>
    <col min="16" max="16" width="7.5703125" bestFit="1" customWidth="1"/>
    <col min="17" max="17" width="23.7109375" hidden="1" customWidth="1"/>
    <col min="18" max="18" width="7.5703125" hidden="1" customWidth="1"/>
    <col min="19" max="19" width="8.42578125" hidden="1" customWidth="1"/>
    <col min="20" max="20" width="7.5703125" bestFit="1" customWidth="1"/>
    <col min="21" max="21" width="10.140625" bestFit="1" customWidth="1"/>
    <col min="25" max="25" width="7.5703125" bestFit="1" customWidth="1"/>
  </cols>
  <sheetData>
    <row r="1" spans="1:35" x14ac:dyDescent="0.25">
      <c r="A1" t="s">
        <v>37</v>
      </c>
      <c r="B1" t="s">
        <v>41</v>
      </c>
      <c r="C1" t="s">
        <v>42</v>
      </c>
      <c r="D1" t="s">
        <v>50</v>
      </c>
      <c r="E1" t="s">
        <v>49</v>
      </c>
      <c r="F1" t="s">
        <v>43</v>
      </c>
      <c r="G1" t="s">
        <v>47</v>
      </c>
      <c r="H1" t="s">
        <v>51</v>
      </c>
      <c r="I1" t="s">
        <v>52</v>
      </c>
      <c r="J1" t="s">
        <v>44</v>
      </c>
      <c r="K1" t="s">
        <v>48</v>
      </c>
      <c r="L1" t="s">
        <v>53</v>
      </c>
      <c r="M1" t="s">
        <v>54</v>
      </c>
      <c r="N1" t="s">
        <v>45</v>
      </c>
      <c r="O1" t="s">
        <v>55</v>
      </c>
      <c r="P1" t="s">
        <v>56</v>
      </c>
      <c r="Q1" t="s">
        <v>57</v>
      </c>
      <c r="R1" t="s">
        <v>46</v>
      </c>
      <c r="S1" t="s">
        <v>58</v>
      </c>
      <c r="T1" t="s">
        <v>59</v>
      </c>
      <c r="U1" t="s">
        <v>60</v>
      </c>
      <c r="Y1" t="s">
        <v>53</v>
      </c>
    </row>
    <row r="2" spans="1:35" x14ac:dyDescent="0.25">
      <c r="A2" t="s">
        <v>61</v>
      </c>
      <c r="B2">
        <f>FIND(" ", A2)</f>
        <v>10</v>
      </c>
      <c r="C2">
        <f>LEN(A2)</f>
        <v>32</v>
      </c>
      <c r="D2" t="str">
        <f>LEFT(A2, B2-1)</f>
        <v>PropModel</v>
      </c>
      <c r="E2" t="str">
        <f>RIGHT(A2, C2-B2)</f>
        <v>PROP V A RPM THRUST(g)</v>
      </c>
      <c r="F2">
        <f>FIND(" ", E2)</f>
        <v>5</v>
      </c>
      <c r="G2">
        <f>LEN(E2)</f>
        <v>22</v>
      </c>
      <c r="H2" t="str">
        <f>LEFT(E2, F2-1)</f>
        <v>PROP</v>
      </c>
      <c r="I2" t="str">
        <f>RIGHT(E2, G2-F2)</f>
        <v>V A RPM THRUST(g)</v>
      </c>
      <c r="J2">
        <f>FIND(" ", I2)</f>
        <v>2</v>
      </c>
      <c r="K2">
        <f>LEN(I2)</f>
        <v>17</v>
      </c>
      <c r="L2" t="str">
        <f>LEFT(I2, J2-1)</f>
        <v>V</v>
      </c>
      <c r="M2" t="str">
        <f>RIGHT(I2, K2-J2)</f>
        <v>A RPM THRUST(g)</v>
      </c>
      <c r="N2">
        <f>FIND(" ", M2)</f>
        <v>2</v>
      </c>
      <c r="O2">
        <f>LEN(M2)</f>
        <v>15</v>
      </c>
      <c r="P2" t="str">
        <f>LEFT(M2, N2-1)</f>
        <v>A</v>
      </c>
      <c r="Q2" t="str">
        <f>RIGHT(M2, O2-N2)</f>
        <v>RPM THRUST(g)</v>
      </c>
      <c r="R2">
        <f t="shared" ref="R2:R43" si="0">FIND(" ", Q2)</f>
        <v>4</v>
      </c>
      <c r="S2">
        <f t="shared" ref="S2" si="1">LEN(Q2)</f>
        <v>13</v>
      </c>
      <c r="T2" t="str">
        <f t="shared" ref="T2" si="2">LEFT(Q2, R2-1)</f>
        <v>RPM</v>
      </c>
      <c r="U2" t="str">
        <f t="shared" ref="U2" si="3">RIGHT(Q2, S2-R2)</f>
        <v>THRUST(g)</v>
      </c>
      <c r="X2" t="s">
        <v>64</v>
      </c>
      <c r="Y2" t="s">
        <v>65</v>
      </c>
    </row>
    <row r="3" spans="1:35" x14ac:dyDescent="0.25">
      <c r="A3" t="s">
        <v>0</v>
      </c>
      <c r="B3">
        <f t="shared" ref="B3:B43" si="4">FIND(" ", A3)</f>
        <v>7</v>
      </c>
      <c r="C3">
        <f t="shared" ref="C3:C43" si="5">LEN(A3)</f>
        <v>33</v>
      </c>
      <c r="D3" t="str">
        <f t="shared" ref="D3:D43" si="6">LEFT(A3, B3-1)</f>
        <v>TL2830</v>
      </c>
      <c r="E3" t="str">
        <f t="shared" ref="E3:E43" si="7">RIGHT(A3, C3-B3)</f>
        <v>14*5.5 11.13 4.34 3650 550</v>
      </c>
      <c r="F3">
        <f t="shared" ref="F3:F43" si="8">FIND(" ", E3)</f>
        <v>7</v>
      </c>
      <c r="G3">
        <f t="shared" ref="G3:G43" si="9">LEN(E3)</f>
        <v>26</v>
      </c>
      <c r="H3" t="str">
        <f t="shared" ref="H3:H43" si="10">LEFT(E3, F3-1)</f>
        <v>14*5.5</v>
      </c>
      <c r="I3" t="str">
        <f t="shared" ref="I3:I43" si="11">RIGHT(E3, G3-F3)</f>
        <v>11.13 4.34 3650 550</v>
      </c>
      <c r="J3">
        <f t="shared" ref="J3:J43" si="12">FIND(" ", I3)</f>
        <v>6</v>
      </c>
      <c r="K3">
        <f t="shared" ref="K3:K43" si="13">LEN(I3)</f>
        <v>19</v>
      </c>
      <c r="L3" t="str">
        <f t="shared" ref="L3:L43" si="14">LEFT(I3, J3-1)</f>
        <v>11.13</v>
      </c>
      <c r="M3" t="str">
        <f t="shared" ref="M3:M43" si="15">RIGHT(I3, K3-J3)</f>
        <v>4.34 3650 550</v>
      </c>
      <c r="N3">
        <f t="shared" ref="N3:N43" si="16">FIND(" ", M3)</f>
        <v>5</v>
      </c>
      <c r="O3">
        <f t="shared" ref="O3:O43" si="17">LEN(M3)</f>
        <v>13</v>
      </c>
      <c r="P3" t="str">
        <f t="shared" ref="P3:P43" si="18">LEFT(M3, N3-1)</f>
        <v>4.34</v>
      </c>
      <c r="Q3" t="str">
        <f t="shared" ref="Q3:Q43" si="19">RIGHT(M3, O3-N3)</f>
        <v>3650 550</v>
      </c>
      <c r="R3">
        <f t="shared" si="0"/>
        <v>5</v>
      </c>
      <c r="S3">
        <f t="shared" ref="S3:S43" si="20">LEN(Q3)</f>
        <v>8</v>
      </c>
      <c r="T3" t="str">
        <f t="shared" ref="T3:T43" si="21">LEFT(Q3, R3-1)</f>
        <v>3650</v>
      </c>
      <c r="U3" t="str">
        <f t="shared" ref="U3:U43" si="22">RIGHT(Q3, S3-R3)</f>
        <v>550</v>
      </c>
      <c r="X3" t="s">
        <v>66</v>
      </c>
      <c r="Y3" t="s">
        <v>67</v>
      </c>
    </row>
    <row r="4" spans="1:35" x14ac:dyDescent="0.25">
      <c r="A4" t="s">
        <v>1</v>
      </c>
      <c r="B4">
        <f t="shared" si="4"/>
        <v>7</v>
      </c>
      <c r="C4">
        <f t="shared" si="5"/>
        <v>29</v>
      </c>
      <c r="D4" t="str">
        <f t="shared" si="6"/>
        <v>TL2831</v>
      </c>
      <c r="E4" t="str">
        <f t="shared" si="7"/>
        <v>15*5.5 11.1 6 3475 925</v>
      </c>
      <c r="F4">
        <f t="shared" si="8"/>
        <v>7</v>
      </c>
      <c r="G4">
        <f t="shared" si="9"/>
        <v>22</v>
      </c>
      <c r="H4" t="str">
        <f t="shared" si="10"/>
        <v>15*5.5</v>
      </c>
      <c r="I4" t="str">
        <f t="shared" si="11"/>
        <v>11.1 6 3475 925</v>
      </c>
      <c r="J4">
        <f t="shared" si="12"/>
        <v>5</v>
      </c>
      <c r="K4">
        <f t="shared" si="13"/>
        <v>15</v>
      </c>
      <c r="L4" t="str">
        <f t="shared" si="14"/>
        <v>11.1</v>
      </c>
      <c r="M4" t="str">
        <f t="shared" si="15"/>
        <v>6 3475 925</v>
      </c>
      <c r="N4">
        <f t="shared" si="16"/>
        <v>2</v>
      </c>
      <c r="O4">
        <f t="shared" si="17"/>
        <v>10</v>
      </c>
      <c r="P4" t="str">
        <f t="shared" si="18"/>
        <v>6</v>
      </c>
      <c r="Q4" t="str">
        <f t="shared" si="19"/>
        <v>3475 925</v>
      </c>
      <c r="R4">
        <f t="shared" si="0"/>
        <v>5</v>
      </c>
      <c r="S4">
        <f t="shared" si="20"/>
        <v>8</v>
      </c>
      <c r="T4" t="str">
        <f t="shared" si="21"/>
        <v>3475</v>
      </c>
      <c r="U4" t="str">
        <f t="shared" si="22"/>
        <v>925</v>
      </c>
      <c r="X4" t="s">
        <v>68</v>
      </c>
      <c r="Y4" t="s">
        <v>69</v>
      </c>
    </row>
    <row r="5" spans="1:35" x14ac:dyDescent="0.25">
      <c r="A5" t="s">
        <v>2</v>
      </c>
      <c r="B5">
        <f t="shared" si="4"/>
        <v>7</v>
      </c>
      <c r="C5">
        <f t="shared" si="5"/>
        <v>33</v>
      </c>
      <c r="D5" t="str">
        <f t="shared" si="6"/>
        <v>TL2813</v>
      </c>
      <c r="E5" t="str">
        <f t="shared" si="7"/>
        <v>15*5.5 11.22 4.78 3600 675</v>
      </c>
      <c r="F5">
        <f t="shared" si="8"/>
        <v>7</v>
      </c>
      <c r="G5">
        <f t="shared" si="9"/>
        <v>26</v>
      </c>
      <c r="H5" t="str">
        <f t="shared" si="10"/>
        <v>15*5.5</v>
      </c>
      <c r="I5" t="str">
        <f t="shared" si="11"/>
        <v>11.22 4.78 3600 675</v>
      </c>
      <c r="J5">
        <f t="shared" si="12"/>
        <v>6</v>
      </c>
      <c r="K5">
        <f t="shared" si="13"/>
        <v>19</v>
      </c>
      <c r="L5" t="str">
        <f t="shared" si="14"/>
        <v>11.22</v>
      </c>
      <c r="M5" t="str">
        <f t="shared" si="15"/>
        <v>4.78 3600 675</v>
      </c>
      <c r="N5">
        <f t="shared" si="16"/>
        <v>5</v>
      </c>
      <c r="O5">
        <f t="shared" si="17"/>
        <v>13</v>
      </c>
      <c r="P5" t="str">
        <f t="shared" si="18"/>
        <v>4.78</v>
      </c>
      <c r="Q5" t="str">
        <f t="shared" si="19"/>
        <v>3600 675</v>
      </c>
      <c r="R5">
        <f t="shared" si="0"/>
        <v>5</v>
      </c>
      <c r="S5">
        <f t="shared" si="20"/>
        <v>8</v>
      </c>
      <c r="T5" t="str">
        <f t="shared" si="21"/>
        <v>3600</v>
      </c>
      <c r="U5" t="str">
        <f t="shared" si="22"/>
        <v>675</v>
      </c>
      <c r="X5" t="s">
        <v>68</v>
      </c>
      <c r="Y5" t="s">
        <v>70</v>
      </c>
    </row>
    <row r="6" spans="1:35" x14ac:dyDescent="0.25">
      <c r="A6" t="s">
        <v>3</v>
      </c>
      <c r="B6">
        <f t="shared" si="4"/>
        <v>7</v>
      </c>
      <c r="C6">
        <f t="shared" si="5"/>
        <v>33</v>
      </c>
      <c r="D6" t="str">
        <f t="shared" si="6"/>
        <v>TL2834</v>
      </c>
      <c r="E6" t="str">
        <f t="shared" si="7"/>
        <v>15*7.5 11.11 4.45 3600 600</v>
      </c>
      <c r="F6">
        <f t="shared" si="8"/>
        <v>7</v>
      </c>
      <c r="G6">
        <f t="shared" si="9"/>
        <v>26</v>
      </c>
      <c r="H6" t="str">
        <f t="shared" si="10"/>
        <v>15*7.5</v>
      </c>
      <c r="I6" t="str">
        <f t="shared" si="11"/>
        <v>11.11 4.45 3600 600</v>
      </c>
      <c r="J6">
        <f t="shared" si="12"/>
        <v>6</v>
      </c>
      <c r="K6">
        <f t="shared" si="13"/>
        <v>19</v>
      </c>
      <c r="L6" t="str">
        <f t="shared" si="14"/>
        <v>11.11</v>
      </c>
      <c r="M6" t="str">
        <f t="shared" si="15"/>
        <v>4.45 3600 600</v>
      </c>
      <c r="N6">
        <f t="shared" si="16"/>
        <v>5</v>
      </c>
      <c r="O6">
        <f t="shared" si="17"/>
        <v>13</v>
      </c>
      <c r="P6" t="str">
        <f t="shared" si="18"/>
        <v>4.45</v>
      </c>
      <c r="Q6" t="str">
        <f t="shared" si="19"/>
        <v>3600 600</v>
      </c>
      <c r="R6">
        <f t="shared" si="0"/>
        <v>5</v>
      </c>
      <c r="S6">
        <f t="shared" si="20"/>
        <v>8</v>
      </c>
      <c r="T6" t="str">
        <f t="shared" si="21"/>
        <v>3600</v>
      </c>
      <c r="U6" t="str">
        <f t="shared" si="22"/>
        <v>600</v>
      </c>
      <c r="X6" t="s">
        <v>71</v>
      </c>
      <c r="Y6" t="s">
        <v>72</v>
      </c>
    </row>
    <row r="7" spans="1:35" x14ac:dyDescent="0.25">
      <c r="A7" t="s">
        <v>4</v>
      </c>
      <c r="B7">
        <f t="shared" si="4"/>
        <v>7</v>
      </c>
      <c r="C7">
        <f t="shared" si="5"/>
        <v>33</v>
      </c>
      <c r="D7" t="str">
        <f t="shared" si="6"/>
        <v>TL2814</v>
      </c>
      <c r="E7" t="str">
        <f t="shared" si="7"/>
        <v>16*5.0 11.12 8.83 3275 925</v>
      </c>
      <c r="F7">
        <f t="shared" si="8"/>
        <v>7</v>
      </c>
      <c r="G7">
        <f t="shared" si="9"/>
        <v>26</v>
      </c>
      <c r="H7" t="str">
        <f t="shared" si="10"/>
        <v>16*5.0</v>
      </c>
      <c r="I7" t="str">
        <f t="shared" si="11"/>
        <v>11.12 8.83 3275 925</v>
      </c>
      <c r="J7">
        <f t="shared" si="12"/>
        <v>6</v>
      </c>
      <c r="K7">
        <f t="shared" si="13"/>
        <v>19</v>
      </c>
      <c r="L7" t="str">
        <f t="shared" si="14"/>
        <v>11.12</v>
      </c>
      <c r="M7" t="str">
        <f t="shared" si="15"/>
        <v>8.83 3275 925</v>
      </c>
      <c r="N7">
        <f t="shared" si="16"/>
        <v>5</v>
      </c>
      <c r="O7">
        <f t="shared" si="17"/>
        <v>13</v>
      </c>
      <c r="P7" t="str">
        <f t="shared" si="18"/>
        <v>8.83</v>
      </c>
      <c r="Q7" t="str">
        <f t="shared" si="19"/>
        <v>3275 925</v>
      </c>
      <c r="R7">
        <f t="shared" si="0"/>
        <v>5</v>
      </c>
      <c r="S7">
        <f t="shared" si="20"/>
        <v>8</v>
      </c>
      <c r="T7" t="str">
        <f t="shared" si="21"/>
        <v>3275</v>
      </c>
      <c r="U7" t="str">
        <f t="shared" si="22"/>
        <v>925</v>
      </c>
      <c r="X7" t="s">
        <v>73</v>
      </c>
      <c r="Y7" t="s">
        <v>74</v>
      </c>
    </row>
    <row r="8" spans="1:35" x14ac:dyDescent="0.25">
      <c r="A8" t="s">
        <v>5</v>
      </c>
      <c r="B8">
        <f t="shared" si="4"/>
        <v>7</v>
      </c>
      <c r="C8">
        <f t="shared" si="5"/>
        <v>33</v>
      </c>
      <c r="D8" t="str">
        <f t="shared" si="6"/>
        <v>TL2835</v>
      </c>
      <c r="E8" t="str">
        <f t="shared" si="7"/>
        <v>16*5.5 11.15 8.16 3325 925</v>
      </c>
      <c r="F8">
        <f t="shared" si="8"/>
        <v>7</v>
      </c>
      <c r="G8">
        <f t="shared" si="9"/>
        <v>26</v>
      </c>
      <c r="H8" t="str">
        <f t="shared" si="10"/>
        <v>16*5.5</v>
      </c>
      <c r="I8" t="str">
        <f t="shared" si="11"/>
        <v>11.15 8.16 3325 925</v>
      </c>
      <c r="J8">
        <f t="shared" si="12"/>
        <v>6</v>
      </c>
      <c r="K8">
        <f t="shared" si="13"/>
        <v>19</v>
      </c>
      <c r="L8" t="str">
        <f t="shared" si="14"/>
        <v>11.15</v>
      </c>
      <c r="M8" t="str">
        <f t="shared" si="15"/>
        <v>8.16 3325 925</v>
      </c>
      <c r="N8">
        <f t="shared" si="16"/>
        <v>5</v>
      </c>
      <c r="O8">
        <f t="shared" si="17"/>
        <v>13</v>
      </c>
      <c r="P8" t="str">
        <f t="shared" si="18"/>
        <v>8.16</v>
      </c>
      <c r="Q8" t="str">
        <f t="shared" si="19"/>
        <v>3325 925</v>
      </c>
      <c r="R8">
        <f t="shared" si="0"/>
        <v>5</v>
      </c>
      <c r="S8">
        <f t="shared" si="20"/>
        <v>8</v>
      </c>
      <c r="T8" t="str">
        <f t="shared" si="21"/>
        <v>3325</v>
      </c>
      <c r="U8" t="str">
        <f t="shared" si="22"/>
        <v>925</v>
      </c>
      <c r="X8" t="s">
        <v>75</v>
      </c>
      <c r="Y8" t="s">
        <v>76</v>
      </c>
      <c r="AA8" t="s">
        <v>64</v>
      </c>
      <c r="AB8" t="s">
        <v>66</v>
      </c>
      <c r="AC8" t="s">
        <v>68</v>
      </c>
      <c r="AD8" t="s">
        <v>68</v>
      </c>
      <c r="AE8" t="s">
        <v>71</v>
      </c>
      <c r="AF8" t="s">
        <v>73</v>
      </c>
      <c r="AG8" t="s">
        <v>75</v>
      </c>
      <c r="AH8" t="s">
        <v>77</v>
      </c>
      <c r="AI8" t="s">
        <v>78</v>
      </c>
    </row>
    <row r="9" spans="1:35" x14ac:dyDescent="0.25">
      <c r="A9" t="s">
        <v>6</v>
      </c>
      <c r="B9">
        <f t="shared" si="4"/>
        <v>7</v>
      </c>
      <c r="C9">
        <f t="shared" si="5"/>
        <v>33</v>
      </c>
      <c r="D9" t="str">
        <f t="shared" si="6"/>
        <v>TL2815</v>
      </c>
      <c r="E9" t="str">
        <f t="shared" si="7"/>
        <v>17*5.5 11.11 7.48 3400 975</v>
      </c>
      <c r="F9">
        <f t="shared" si="8"/>
        <v>7</v>
      </c>
      <c r="G9">
        <f t="shared" si="9"/>
        <v>26</v>
      </c>
      <c r="H9" t="str">
        <f t="shared" si="10"/>
        <v>17*5.5</v>
      </c>
      <c r="I9" t="str">
        <f t="shared" si="11"/>
        <v>11.11 7.48 3400 975</v>
      </c>
      <c r="J9">
        <f t="shared" si="12"/>
        <v>6</v>
      </c>
      <c r="K9">
        <f t="shared" si="13"/>
        <v>19</v>
      </c>
      <c r="L9" t="str">
        <f t="shared" si="14"/>
        <v>11.11</v>
      </c>
      <c r="M9" t="str">
        <f t="shared" si="15"/>
        <v>7.48 3400 975</v>
      </c>
      <c r="N9">
        <f t="shared" si="16"/>
        <v>5</v>
      </c>
      <c r="O9">
        <f t="shared" si="17"/>
        <v>13</v>
      </c>
      <c r="P9" t="str">
        <f t="shared" si="18"/>
        <v>7.48</v>
      </c>
      <c r="Q9" t="str">
        <f t="shared" si="19"/>
        <v>3400 975</v>
      </c>
      <c r="R9">
        <f t="shared" si="0"/>
        <v>5</v>
      </c>
      <c r="S9">
        <f t="shared" si="20"/>
        <v>8</v>
      </c>
      <c r="T9" t="str">
        <f t="shared" si="21"/>
        <v>3400</v>
      </c>
      <c r="U9" t="str">
        <f t="shared" si="22"/>
        <v>975</v>
      </c>
      <c r="X9" t="s">
        <v>77</v>
      </c>
      <c r="Y9" t="s">
        <v>72</v>
      </c>
      <c r="AA9" t="s">
        <v>65</v>
      </c>
      <c r="AB9" t="s">
        <v>67</v>
      </c>
      <c r="AC9" t="s">
        <v>69</v>
      </c>
      <c r="AD9" t="s">
        <v>70</v>
      </c>
      <c r="AE9" t="s">
        <v>72</v>
      </c>
      <c r="AF9" t="s">
        <v>74</v>
      </c>
      <c r="AG9" t="s">
        <v>76</v>
      </c>
      <c r="AH9" t="s">
        <v>72</v>
      </c>
      <c r="AI9" t="s">
        <v>69</v>
      </c>
    </row>
    <row r="10" spans="1:35" x14ac:dyDescent="0.25">
      <c r="A10" t="s">
        <v>7</v>
      </c>
      <c r="B10">
        <f t="shared" si="4"/>
        <v>7</v>
      </c>
      <c r="C10">
        <f t="shared" si="5"/>
        <v>34</v>
      </c>
      <c r="D10" t="str">
        <f t="shared" si="6"/>
        <v>TL2822</v>
      </c>
      <c r="E10" t="str">
        <f t="shared" si="7"/>
        <v>18*5.5 11.1 10.23 3175 1200</v>
      </c>
      <c r="F10">
        <f t="shared" si="8"/>
        <v>7</v>
      </c>
      <c r="G10">
        <f t="shared" si="9"/>
        <v>27</v>
      </c>
      <c r="H10" t="str">
        <f t="shared" si="10"/>
        <v>18*5.5</v>
      </c>
      <c r="I10" t="str">
        <f t="shared" si="11"/>
        <v>11.1 10.23 3175 1200</v>
      </c>
      <c r="J10">
        <f t="shared" si="12"/>
        <v>5</v>
      </c>
      <c r="K10">
        <f t="shared" si="13"/>
        <v>20</v>
      </c>
      <c r="L10" t="str">
        <f t="shared" si="14"/>
        <v>11.1</v>
      </c>
      <c r="M10" t="str">
        <f t="shared" si="15"/>
        <v>10.23 3175 1200</v>
      </c>
      <c r="N10">
        <f t="shared" si="16"/>
        <v>6</v>
      </c>
      <c r="O10">
        <f t="shared" si="17"/>
        <v>15</v>
      </c>
      <c r="P10" t="str">
        <f t="shared" si="18"/>
        <v>10.23</v>
      </c>
      <c r="Q10" t="str">
        <f t="shared" si="19"/>
        <v>3175 1200</v>
      </c>
      <c r="R10">
        <f t="shared" si="0"/>
        <v>5</v>
      </c>
      <c r="S10">
        <f t="shared" si="20"/>
        <v>9</v>
      </c>
      <c r="T10" t="str">
        <f t="shared" si="21"/>
        <v>3175</v>
      </c>
      <c r="U10" t="str">
        <f t="shared" si="22"/>
        <v>1200</v>
      </c>
      <c r="X10" t="s">
        <v>78</v>
      </c>
      <c r="Y10" t="s">
        <v>69</v>
      </c>
    </row>
    <row r="11" spans="1:35" x14ac:dyDescent="0.25">
      <c r="A11" t="s">
        <v>38</v>
      </c>
      <c r="B11" t="e">
        <f t="shared" si="4"/>
        <v>#VALUE!</v>
      </c>
      <c r="C11">
        <f t="shared" si="5"/>
        <v>2</v>
      </c>
    </row>
    <row r="12" spans="1:35" x14ac:dyDescent="0.25">
      <c r="A12" t="s">
        <v>8</v>
      </c>
      <c r="B12">
        <f t="shared" si="4"/>
        <v>7</v>
      </c>
      <c r="C12">
        <f t="shared" si="5"/>
        <v>30</v>
      </c>
      <c r="D12" t="str">
        <f t="shared" si="6"/>
        <v>TL2828</v>
      </c>
      <c r="E12" t="str">
        <f t="shared" si="7"/>
        <v>12*5.5 14.82 4 4925 525</v>
      </c>
      <c r="F12">
        <f t="shared" si="8"/>
        <v>7</v>
      </c>
      <c r="G12">
        <f t="shared" si="9"/>
        <v>23</v>
      </c>
      <c r="H12" t="str">
        <f t="shared" si="10"/>
        <v>12*5.5</v>
      </c>
      <c r="I12" t="str">
        <f t="shared" si="11"/>
        <v>14.82 4 4925 525</v>
      </c>
      <c r="J12">
        <f t="shared" si="12"/>
        <v>6</v>
      </c>
      <c r="K12">
        <f t="shared" si="13"/>
        <v>16</v>
      </c>
      <c r="L12" t="str">
        <f t="shared" si="14"/>
        <v>14.82</v>
      </c>
      <c r="M12" t="str">
        <f t="shared" si="15"/>
        <v>4 4925 525</v>
      </c>
      <c r="N12">
        <f t="shared" si="16"/>
        <v>2</v>
      </c>
      <c r="O12">
        <f t="shared" si="17"/>
        <v>10</v>
      </c>
      <c r="P12" t="str">
        <f t="shared" si="18"/>
        <v>4</v>
      </c>
      <c r="Q12" t="str">
        <f t="shared" si="19"/>
        <v>4925 525</v>
      </c>
      <c r="R12">
        <f t="shared" si="0"/>
        <v>5</v>
      </c>
      <c r="S12">
        <f t="shared" si="20"/>
        <v>8</v>
      </c>
      <c r="T12" t="str">
        <f t="shared" si="21"/>
        <v>4925</v>
      </c>
      <c r="U12" t="str">
        <f t="shared" si="22"/>
        <v>525</v>
      </c>
      <c r="Y12" t="s">
        <v>79</v>
      </c>
    </row>
    <row r="13" spans="1:35" x14ac:dyDescent="0.25">
      <c r="A13" t="s">
        <v>9</v>
      </c>
      <c r="B13">
        <f t="shared" si="4"/>
        <v>7</v>
      </c>
      <c r="C13">
        <f t="shared" si="5"/>
        <v>33</v>
      </c>
      <c r="D13" t="str">
        <f t="shared" si="6"/>
        <v>TL2829</v>
      </c>
      <c r="E13" t="str">
        <f t="shared" si="7"/>
        <v>13*5.5 14.82 5.68 4775 850</v>
      </c>
      <c r="F13">
        <f t="shared" si="8"/>
        <v>7</v>
      </c>
      <c r="G13">
        <f t="shared" si="9"/>
        <v>26</v>
      </c>
      <c r="H13" t="str">
        <f t="shared" si="10"/>
        <v>13*5.5</v>
      </c>
      <c r="I13" t="str">
        <f t="shared" si="11"/>
        <v>14.82 5.68 4775 850</v>
      </c>
      <c r="J13">
        <f t="shared" si="12"/>
        <v>6</v>
      </c>
      <c r="K13">
        <f t="shared" si="13"/>
        <v>19</v>
      </c>
      <c r="L13" t="str">
        <f t="shared" si="14"/>
        <v>14.82</v>
      </c>
      <c r="M13" t="str">
        <f t="shared" si="15"/>
        <v>5.68 4775 850</v>
      </c>
      <c r="N13">
        <f t="shared" si="16"/>
        <v>5</v>
      </c>
      <c r="O13">
        <f t="shared" si="17"/>
        <v>13</v>
      </c>
      <c r="P13" t="str">
        <f t="shared" si="18"/>
        <v>5.68</v>
      </c>
      <c r="Q13" t="str">
        <f t="shared" si="19"/>
        <v>4775 850</v>
      </c>
      <c r="R13">
        <f t="shared" si="0"/>
        <v>5</v>
      </c>
      <c r="S13">
        <f t="shared" si="20"/>
        <v>8</v>
      </c>
      <c r="T13" t="str">
        <f t="shared" si="21"/>
        <v>4775</v>
      </c>
      <c r="U13" t="str">
        <f t="shared" si="22"/>
        <v>850</v>
      </c>
      <c r="Y13" t="s">
        <v>79</v>
      </c>
    </row>
    <row r="14" spans="1:35" x14ac:dyDescent="0.25">
      <c r="A14" t="s">
        <v>10</v>
      </c>
      <c r="B14">
        <f t="shared" si="4"/>
        <v>7</v>
      </c>
      <c r="C14">
        <f t="shared" si="5"/>
        <v>33</v>
      </c>
      <c r="D14" t="str">
        <f t="shared" si="6"/>
        <v>TL2830</v>
      </c>
      <c r="E14" t="str">
        <f t="shared" si="7"/>
        <v>14*5.5 17.85 7.19 4675 975</v>
      </c>
      <c r="F14">
        <f t="shared" si="8"/>
        <v>7</v>
      </c>
      <c r="G14">
        <f t="shared" si="9"/>
        <v>26</v>
      </c>
      <c r="H14" t="str">
        <f t="shared" si="10"/>
        <v>14*5.5</v>
      </c>
      <c r="I14" t="str">
        <f t="shared" si="11"/>
        <v>17.85 7.19 4675 975</v>
      </c>
      <c r="J14">
        <f t="shared" si="12"/>
        <v>6</v>
      </c>
      <c r="K14">
        <f t="shared" si="13"/>
        <v>19</v>
      </c>
      <c r="L14" t="str">
        <f t="shared" si="14"/>
        <v>17.85</v>
      </c>
      <c r="M14" t="str">
        <f t="shared" si="15"/>
        <v>7.19 4675 975</v>
      </c>
      <c r="N14">
        <f t="shared" si="16"/>
        <v>5</v>
      </c>
      <c r="O14">
        <f t="shared" si="17"/>
        <v>13</v>
      </c>
      <c r="P14" t="str">
        <f t="shared" si="18"/>
        <v>7.19</v>
      </c>
      <c r="Q14" t="str">
        <f t="shared" si="19"/>
        <v>4675 975</v>
      </c>
      <c r="R14">
        <f t="shared" si="0"/>
        <v>5</v>
      </c>
      <c r="S14">
        <f t="shared" si="20"/>
        <v>8</v>
      </c>
      <c r="T14" t="str">
        <f t="shared" si="21"/>
        <v>4675</v>
      </c>
      <c r="U14" t="str">
        <f t="shared" si="22"/>
        <v>975</v>
      </c>
      <c r="Y14" t="s">
        <v>80</v>
      </c>
    </row>
    <row r="15" spans="1:35" x14ac:dyDescent="0.25">
      <c r="A15" t="s">
        <v>11</v>
      </c>
      <c r="B15">
        <f t="shared" si="4"/>
        <v>7</v>
      </c>
      <c r="C15">
        <f t="shared" si="5"/>
        <v>31</v>
      </c>
      <c r="D15" t="str">
        <f t="shared" si="6"/>
        <v>TL2831</v>
      </c>
      <c r="E15" t="str">
        <f t="shared" si="7"/>
        <v>15*5.5 14.8 10 4400 1300</v>
      </c>
      <c r="F15">
        <f t="shared" si="8"/>
        <v>7</v>
      </c>
      <c r="G15">
        <f t="shared" si="9"/>
        <v>24</v>
      </c>
      <c r="H15" t="str">
        <f t="shared" si="10"/>
        <v>15*5.5</v>
      </c>
      <c r="I15" t="str">
        <f t="shared" si="11"/>
        <v>14.8 10 4400 1300</v>
      </c>
      <c r="J15">
        <f t="shared" si="12"/>
        <v>5</v>
      </c>
      <c r="K15">
        <f t="shared" si="13"/>
        <v>17</v>
      </c>
      <c r="L15" t="str">
        <f t="shared" si="14"/>
        <v>14.8</v>
      </c>
      <c r="M15" t="str">
        <f t="shared" si="15"/>
        <v>10 4400 1300</v>
      </c>
      <c r="N15">
        <f t="shared" si="16"/>
        <v>3</v>
      </c>
      <c r="O15">
        <f t="shared" si="17"/>
        <v>12</v>
      </c>
      <c r="P15" t="str">
        <f t="shared" si="18"/>
        <v>10</v>
      </c>
      <c r="Q15" t="str">
        <f t="shared" si="19"/>
        <v>4400 1300</v>
      </c>
      <c r="R15">
        <f t="shared" si="0"/>
        <v>5</v>
      </c>
      <c r="S15">
        <f t="shared" si="20"/>
        <v>9</v>
      </c>
      <c r="T15" t="str">
        <f t="shared" si="21"/>
        <v>4400</v>
      </c>
      <c r="U15" t="str">
        <f t="shared" si="22"/>
        <v>1300</v>
      </c>
      <c r="Y15" t="s">
        <v>81</v>
      </c>
    </row>
    <row r="16" spans="1:35" x14ac:dyDescent="0.25">
      <c r="A16" t="s">
        <v>12</v>
      </c>
      <c r="B16">
        <f t="shared" si="4"/>
        <v>7</v>
      </c>
      <c r="C16">
        <f t="shared" si="5"/>
        <v>34</v>
      </c>
      <c r="D16" t="str">
        <f t="shared" si="6"/>
        <v>TL2813</v>
      </c>
      <c r="E16" t="str">
        <f t="shared" si="7"/>
        <v>15*5.5 14.85 7.69 4600 1125</v>
      </c>
      <c r="F16">
        <f t="shared" si="8"/>
        <v>7</v>
      </c>
      <c r="G16">
        <f t="shared" si="9"/>
        <v>27</v>
      </c>
      <c r="H16" t="str">
        <f t="shared" si="10"/>
        <v>15*5.5</v>
      </c>
      <c r="I16" t="str">
        <f t="shared" si="11"/>
        <v>14.85 7.69 4600 1125</v>
      </c>
      <c r="J16">
        <f t="shared" si="12"/>
        <v>6</v>
      </c>
      <c r="K16">
        <f t="shared" si="13"/>
        <v>20</v>
      </c>
      <c r="L16" t="str">
        <f t="shared" si="14"/>
        <v>14.85</v>
      </c>
      <c r="M16" t="str">
        <f t="shared" si="15"/>
        <v>7.69 4600 1125</v>
      </c>
      <c r="N16">
        <f t="shared" si="16"/>
        <v>5</v>
      </c>
      <c r="O16">
        <f t="shared" si="17"/>
        <v>14</v>
      </c>
      <c r="P16" t="str">
        <f t="shared" si="18"/>
        <v>7.69</v>
      </c>
      <c r="Q16" t="str">
        <f t="shared" si="19"/>
        <v>4600 1125</v>
      </c>
      <c r="R16">
        <f t="shared" si="0"/>
        <v>5</v>
      </c>
      <c r="S16">
        <f t="shared" si="20"/>
        <v>9</v>
      </c>
      <c r="T16" t="str">
        <f t="shared" si="21"/>
        <v>4600</v>
      </c>
      <c r="U16" t="str">
        <f t="shared" si="22"/>
        <v>1125</v>
      </c>
      <c r="Y16" t="s">
        <v>82</v>
      </c>
    </row>
    <row r="17" spans="1:25" x14ac:dyDescent="0.25">
      <c r="A17" t="s">
        <v>13</v>
      </c>
      <c r="B17">
        <f t="shared" si="4"/>
        <v>7</v>
      </c>
      <c r="C17">
        <f t="shared" si="5"/>
        <v>34</v>
      </c>
      <c r="D17" t="str">
        <f t="shared" si="6"/>
        <v>TL2834</v>
      </c>
      <c r="E17" t="str">
        <f t="shared" si="7"/>
        <v>15*7.5 14.82 7.26 4625 1050</v>
      </c>
      <c r="F17">
        <f t="shared" si="8"/>
        <v>7</v>
      </c>
      <c r="G17">
        <f t="shared" si="9"/>
        <v>27</v>
      </c>
      <c r="H17" t="str">
        <f t="shared" si="10"/>
        <v>15*7.5</v>
      </c>
      <c r="I17" t="str">
        <f t="shared" si="11"/>
        <v>14.82 7.26 4625 1050</v>
      </c>
      <c r="J17">
        <f t="shared" si="12"/>
        <v>6</v>
      </c>
      <c r="K17">
        <f t="shared" si="13"/>
        <v>20</v>
      </c>
      <c r="L17" t="str">
        <f t="shared" si="14"/>
        <v>14.82</v>
      </c>
      <c r="M17" t="str">
        <f t="shared" si="15"/>
        <v>7.26 4625 1050</v>
      </c>
      <c r="N17">
        <f t="shared" si="16"/>
        <v>5</v>
      </c>
      <c r="O17">
        <f t="shared" si="17"/>
        <v>14</v>
      </c>
      <c r="P17" t="str">
        <f t="shared" si="18"/>
        <v>7.26</v>
      </c>
      <c r="Q17" t="str">
        <f t="shared" si="19"/>
        <v>4625 1050</v>
      </c>
      <c r="R17">
        <f t="shared" si="0"/>
        <v>5</v>
      </c>
      <c r="S17">
        <f t="shared" si="20"/>
        <v>9</v>
      </c>
      <c r="T17" t="str">
        <f t="shared" si="21"/>
        <v>4625</v>
      </c>
      <c r="U17" t="str">
        <f t="shared" si="22"/>
        <v>1050</v>
      </c>
      <c r="Y17" t="s">
        <v>79</v>
      </c>
    </row>
    <row r="18" spans="1:25" x14ac:dyDescent="0.25">
      <c r="A18" t="s">
        <v>14</v>
      </c>
      <c r="B18">
        <f t="shared" si="4"/>
        <v>7</v>
      </c>
      <c r="C18">
        <f t="shared" si="5"/>
        <v>31</v>
      </c>
      <c r="D18" t="str">
        <f t="shared" si="6"/>
        <v>TL2814</v>
      </c>
      <c r="E18" t="str">
        <f t="shared" si="7"/>
        <v>16*5.0 14.8 14 4100 1400</v>
      </c>
      <c r="F18">
        <f t="shared" si="8"/>
        <v>7</v>
      </c>
      <c r="G18">
        <f t="shared" si="9"/>
        <v>24</v>
      </c>
      <c r="H18" t="str">
        <f t="shared" si="10"/>
        <v>16*5.0</v>
      </c>
      <c r="I18" t="str">
        <f t="shared" si="11"/>
        <v>14.8 14 4100 1400</v>
      </c>
      <c r="J18">
        <f t="shared" si="12"/>
        <v>5</v>
      </c>
      <c r="K18">
        <f t="shared" si="13"/>
        <v>17</v>
      </c>
      <c r="L18" t="str">
        <f t="shared" si="14"/>
        <v>14.8</v>
      </c>
      <c r="M18" t="str">
        <f t="shared" si="15"/>
        <v>14 4100 1400</v>
      </c>
      <c r="N18">
        <f t="shared" si="16"/>
        <v>3</v>
      </c>
      <c r="O18">
        <f t="shared" si="17"/>
        <v>12</v>
      </c>
      <c r="P18" t="str">
        <f t="shared" si="18"/>
        <v>14</v>
      </c>
      <c r="Q18" t="str">
        <f t="shared" si="19"/>
        <v>4100 1400</v>
      </c>
      <c r="R18">
        <f t="shared" si="0"/>
        <v>5</v>
      </c>
      <c r="S18">
        <f t="shared" si="20"/>
        <v>9</v>
      </c>
      <c r="T18" t="str">
        <f t="shared" si="21"/>
        <v>4100</v>
      </c>
      <c r="U18" t="str">
        <f t="shared" si="22"/>
        <v>1400</v>
      </c>
      <c r="Y18" t="s">
        <v>81</v>
      </c>
    </row>
    <row r="19" spans="1:25" x14ac:dyDescent="0.25">
      <c r="A19" t="s">
        <v>15</v>
      </c>
      <c r="B19">
        <f t="shared" si="4"/>
        <v>7</v>
      </c>
      <c r="C19">
        <f t="shared" si="5"/>
        <v>35</v>
      </c>
      <c r="D19" t="str">
        <f t="shared" si="6"/>
        <v>TL2835</v>
      </c>
      <c r="E19" t="str">
        <f t="shared" si="7"/>
        <v>16*5.5 14.81 12.92 4175 1475</v>
      </c>
      <c r="F19">
        <f t="shared" si="8"/>
        <v>7</v>
      </c>
      <c r="G19">
        <f t="shared" si="9"/>
        <v>28</v>
      </c>
      <c r="H19" t="str">
        <f t="shared" si="10"/>
        <v>16*5.5</v>
      </c>
      <c r="I19" t="str">
        <f t="shared" si="11"/>
        <v>14.81 12.92 4175 1475</v>
      </c>
      <c r="J19">
        <f t="shared" si="12"/>
        <v>6</v>
      </c>
      <c r="K19">
        <f t="shared" si="13"/>
        <v>21</v>
      </c>
      <c r="L19" t="str">
        <f t="shared" si="14"/>
        <v>14.81</v>
      </c>
      <c r="M19" t="str">
        <f t="shared" si="15"/>
        <v>12.92 4175 1475</v>
      </c>
      <c r="N19">
        <f t="shared" si="16"/>
        <v>6</v>
      </c>
      <c r="O19">
        <f t="shared" si="17"/>
        <v>15</v>
      </c>
      <c r="P19" t="str">
        <f t="shared" si="18"/>
        <v>12.92</v>
      </c>
      <c r="Q19" t="str">
        <f t="shared" si="19"/>
        <v>4175 1475</v>
      </c>
      <c r="R19">
        <f t="shared" si="0"/>
        <v>5</v>
      </c>
      <c r="S19">
        <f t="shared" si="20"/>
        <v>9</v>
      </c>
      <c r="T19" t="str">
        <f t="shared" si="21"/>
        <v>4175</v>
      </c>
      <c r="U19" t="str">
        <f t="shared" si="22"/>
        <v>1475</v>
      </c>
      <c r="Y19" t="s">
        <v>83</v>
      </c>
    </row>
    <row r="20" spans="1:25" x14ac:dyDescent="0.25">
      <c r="A20" t="s">
        <v>16</v>
      </c>
      <c r="B20">
        <f t="shared" si="4"/>
        <v>7</v>
      </c>
      <c r="C20">
        <f t="shared" si="5"/>
        <v>34</v>
      </c>
      <c r="D20" t="str">
        <f t="shared" si="6"/>
        <v>TL2815</v>
      </c>
      <c r="E20" t="str">
        <f t="shared" si="7"/>
        <v>17*5.5 14.8 11.63 4275 1600</v>
      </c>
      <c r="F20">
        <f t="shared" si="8"/>
        <v>7</v>
      </c>
      <c r="G20">
        <f t="shared" si="9"/>
        <v>27</v>
      </c>
      <c r="H20" t="str">
        <f t="shared" si="10"/>
        <v>17*5.5</v>
      </c>
      <c r="I20" t="str">
        <f t="shared" si="11"/>
        <v>14.8 11.63 4275 1600</v>
      </c>
      <c r="J20">
        <f t="shared" si="12"/>
        <v>5</v>
      </c>
      <c r="K20">
        <f t="shared" si="13"/>
        <v>20</v>
      </c>
      <c r="L20" t="str">
        <f t="shared" si="14"/>
        <v>14.8</v>
      </c>
      <c r="M20" t="str">
        <f t="shared" si="15"/>
        <v>11.63 4275 1600</v>
      </c>
      <c r="N20">
        <f t="shared" si="16"/>
        <v>6</v>
      </c>
      <c r="O20">
        <f t="shared" si="17"/>
        <v>15</v>
      </c>
      <c r="P20" t="str">
        <f t="shared" si="18"/>
        <v>11.63</v>
      </c>
      <c r="Q20" t="str">
        <f t="shared" si="19"/>
        <v>4275 1600</v>
      </c>
      <c r="R20">
        <f t="shared" si="0"/>
        <v>5</v>
      </c>
      <c r="S20">
        <f t="shared" si="20"/>
        <v>9</v>
      </c>
      <c r="T20" t="str">
        <f t="shared" si="21"/>
        <v>4275</v>
      </c>
      <c r="U20" t="str">
        <f t="shared" si="22"/>
        <v>1600</v>
      </c>
      <c r="Y20" t="s">
        <v>81</v>
      </c>
    </row>
    <row r="21" spans="1:25" x14ac:dyDescent="0.25">
      <c r="A21" t="s">
        <v>17</v>
      </c>
      <c r="B21">
        <f t="shared" si="4"/>
        <v>7</v>
      </c>
      <c r="C21">
        <f t="shared" si="5"/>
        <v>35</v>
      </c>
      <c r="D21" t="str">
        <f t="shared" si="6"/>
        <v>TL2822</v>
      </c>
      <c r="E21" t="str">
        <f t="shared" si="7"/>
        <v>18*5.5 14.85 15.75 3975 1850</v>
      </c>
      <c r="F21">
        <f t="shared" si="8"/>
        <v>7</v>
      </c>
      <c r="G21">
        <f t="shared" si="9"/>
        <v>28</v>
      </c>
      <c r="H21" t="str">
        <f t="shared" si="10"/>
        <v>18*5.5</v>
      </c>
      <c r="I21" t="str">
        <f t="shared" si="11"/>
        <v>14.85 15.75 3975 1850</v>
      </c>
      <c r="J21">
        <f t="shared" si="12"/>
        <v>6</v>
      </c>
      <c r="K21">
        <f t="shared" si="13"/>
        <v>21</v>
      </c>
      <c r="L21" t="str">
        <f t="shared" si="14"/>
        <v>14.85</v>
      </c>
      <c r="M21" t="str">
        <f t="shared" si="15"/>
        <v>15.75 3975 1850</v>
      </c>
      <c r="N21">
        <f t="shared" si="16"/>
        <v>6</v>
      </c>
      <c r="O21">
        <f t="shared" si="17"/>
        <v>15</v>
      </c>
      <c r="P21" t="str">
        <f t="shared" si="18"/>
        <v>15.75</v>
      </c>
      <c r="Q21" t="str">
        <f t="shared" si="19"/>
        <v>3975 1850</v>
      </c>
      <c r="R21">
        <f t="shared" si="0"/>
        <v>5</v>
      </c>
      <c r="S21">
        <f t="shared" si="20"/>
        <v>9</v>
      </c>
      <c r="T21" t="str">
        <f t="shared" si="21"/>
        <v>3975</v>
      </c>
      <c r="U21" t="str">
        <f t="shared" si="22"/>
        <v>1850</v>
      </c>
      <c r="Y21" t="s">
        <v>82</v>
      </c>
    </row>
    <row r="22" spans="1:25" x14ac:dyDescent="0.25">
      <c r="A22" t="s">
        <v>39</v>
      </c>
      <c r="B22" t="e">
        <f t="shared" si="4"/>
        <v>#VALUE!</v>
      </c>
      <c r="C22">
        <f t="shared" si="5"/>
        <v>2</v>
      </c>
    </row>
    <row r="23" spans="1:25" x14ac:dyDescent="0.25">
      <c r="A23" t="s">
        <v>18</v>
      </c>
      <c r="B23">
        <f t="shared" si="4"/>
        <v>7</v>
      </c>
      <c r="C23">
        <f t="shared" si="5"/>
        <v>33</v>
      </c>
      <c r="D23" t="str">
        <f t="shared" si="6"/>
        <v>TL2827</v>
      </c>
      <c r="E23" t="str">
        <f t="shared" si="7"/>
        <v>11*5.5 18.53 4.33 6150 600</v>
      </c>
      <c r="F23">
        <f t="shared" si="8"/>
        <v>7</v>
      </c>
      <c r="G23">
        <f t="shared" si="9"/>
        <v>26</v>
      </c>
      <c r="H23" t="str">
        <f t="shared" si="10"/>
        <v>11*5.5</v>
      </c>
      <c r="I23" t="str">
        <f t="shared" si="11"/>
        <v>18.53 4.33 6150 600</v>
      </c>
      <c r="J23">
        <f t="shared" si="12"/>
        <v>6</v>
      </c>
      <c r="K23">
        <f t="shared" si="13"/>
        <v>19</v>
      </c>
      <c r="L23" t="str">
        <f t="shared" si="14"/>
        <v>18.53</v>
      </c>
      <c r="M23" t="str">
        <f t="shared" si="15"/>
        <v>4.33 6150 600</v>
      </c>
      <c r="N23">
        <f t="shared" si="16"/>
        <v>5</v>
      </c>
      <c r="O23">
        <f t="shared" si="17"/>
        <v>13</v>
      </c>
      <c r="P23" t="str">
        <f t="shared" si="18"/>
        <v>4.33</v>
      </c>
      <c r="Q23" t="str">
        <f t="shared" si="19"/>
        <v>6150 600</v>
      </c>
      <c r="R23">
        <f t="shared" si="0"/>
        <v>5</v>
      </c>
      <c r="S23">
        <f t="shared" si="20"/>
        <v>8</v>
      </c>
      <c r="T23" t="str">
        <f t="shared" si="21"/>
        <v>6150</v>
      </c>
      <c r="U23" t="str">
        <f t="shared" si="22"/>
        <v>600</v>
      </c>
      <c r="Y23" t="s">
        <v>84</v>
      </c>
    </row>
    <row r="24" spans="1:25" x14ac:dyDescent="0.25">
      <c r="A24" t="s">
        <v>19</v>
      </c>
      <c r="B24">
        <f t="shared" si="4"/>
        <v>7</v>
      </c>
      <c r="C24">
        <f t="shared" si="5"/>
        <v>33</v>
      </c>
      <c r="D24" t="str">
        <f t="shared" si="6"/>
        <v>TL2828</v>
      </c>
      <c r="E24" t="str">
        <f t="shared" si="7"/>
        <v>12*5.5 18.51 5.77 6000 850</v>
      </c>
      <c r="F24">
        <f t="shared" si="8"/>
        <v>7</v>
      </c>
      <c r="G24">
        <f t="shared" si="9"/>
        <v>26</v>
      </c>
      <c r="H24" t="str">
        <f t="shared" si="10"/>
        <v>12*5.5</v>
      </c>
      <c r="I24" t="str">
        <f t="shared" si="11"/>
        <v>18.51 5.77 6000 850</v>
      </c>
      <c r="J24">
        <f t="shared" si="12"/>
        <v>6</v>
      </c>
      <c r="K24">
        <f t="shared" si="13"/>
        <v>19</v>
      </c>
      <c r="L24" t="str">
        <f t="shared" si="14"/>
        <v>18.51</v>
      </c>
      <c r="M24" t="str">
        <f t="shared" si="15"/>
        <v>5.77 6000 850</v>
      </c>
      <c r="N24">
        <f t="shared" si="16"/>
        <v>5</v>
      </c>
      <c r="O24">
        <f t="shared" si="17"/>
        <v>13</v>
      </c>
      <c r="P24" t="str">
        <f t="shared" si="18"/>
        <v>5.77</v>
      </c>
      <c r="Q24" t="str">
        <f t="shared" si="19"/>
        <v>6000 850</v>
      </c>
      <c r="R24">
        <f t="shared" si="0"/>
        <v>5</v>
      </c>
      <c r="S24">
        <f t="shared" si="20"/>
        <v>8</v>
      </c>
      <c r="T24" t="str">
        <f t="shared" si="21"/>
        <v>6000</v>
      </c>
      <c r="U24" t="str">
        <f t="shared" si="22"/>
        <v>850</v>
      </c>
      <c r="Y24" t="s">
        <v>85</v>
      </c>
    </row>
    <row r="25" spans="1:25" x14ac:dyDescent="0.25">
      <c r="A25" t="s">
        <v>20</v>
      </c>
      <c r="B25">
        <f t="shared" si="4"/>
        <v>7</v>
      </c>
      <c r="C25">
        <f t="shared" si="5"/>
        <v>34</v>
      </c>
      <c r="D25" t="str">
        <f t="shared" si="6"/>
        <v>TL2829</v>
      </c>
      <c r="E25" t="str">
        <f t="shared" si="7"/>
        <v>13*5.5 18.52 8.39 5800 1225</v>
      </c>
      <c r="F25">
        <f t="shared" si="8"/>
        <v>7</v>
      </c>
      <c r="G25">
        <f t="shared" si="9"/>
        <v>27</v>
      </c>
      <c r="H25" t="str">
        <f t="shared" si="10"/>
        <v>13*5.5</v>
      </c>
      <c r="I25" t="str">
        <f t="shared" si="11"/>
        <v>18.52 8.39 5800 1225</v>
      </c>
      <c r="J25">
        <f t="shared" si="12"/>
        <v>6</v>
      </c>
      <c r="K25">
        <f t="shared" si="13"/>
        <v>20</v>
      </c>
      <c r="L25" t="str">
        <f t="shared" si="14"/>
        <v>18.52</v>
      </c>
      <c r="M25" t="str">
        <f t="shared" si="15"/>
        <v>8.39 5800 1225</v>
      </c>
      <c r="N25">
        <f t="shared" si="16"/>
        <v>5</v>
      </c>
      <c r="O25">
        <f t="shared" si="17"/>
        <v>14</v>
      </c>
      <c r="P25" t="str">
        <f t="shared" si="18"/>
        <v>8.39</v>
      </c>
      <c r="Q25" t="str">
        <f t="shared" si="19"/>
        <v>5800 1225</v>
      </c>
      <c r="R25">
        <f t="shared" si="0"/>
        <v>5</v>
      </c>
      <c r="S25">
        <f t="shared" si="20"/>
        <v>9</v>
      </c>
      <c r="T25" t="str">
        <f t="shared" si="21"/>
        <v>5800</v>
      </c>
      <c r="U25" t="str">
        <f t="shared" si="22"/>
        <v>1225</v>
      </c>
      <c r="Y25" t="s">
        <v>86</v>
      </c>
    </row>
    <row r="26" spans="1:25" x14ac:dyDescent="0.25">
      <c r="A26" t="s">
        <v>21</v>
      </c>
      <c r="B26">
        <f t="shared" si="4"/>
        <v>7</v>
      </c>
      <c r="C26">
        <f t="shared" si="5"/>
        <v>35</v>
      </c>
      <c r="D26" t="str">
        <f t="shared" si="6"/>
        <v>TL2830</v>
      </c>
      <c r="E26" t="str">
        <f t="shared" si="7"/>
        <v>14*5.5 18.55 10.75 5550 1450</v>
      </c>
      <c r="F26">
        <f t="shared" si="8"/>
        <v>7</v>
      </c>
      <c r="G26">
        <f t="shared" si="9"/>
        <v>28</v>
      </c>
      <c r="H26" t="str">
        <f t="shared" si="10"/>
        <v>14*5.5</v>
      </c>
      <c r="I26" t="str">
        <f t="shared" si="11"/>
        <v>18.55 10.75 5550 1450</v>
      </c>
      <c r="J26">
        <f t="shared" si="12"/>
        <v>6</v>
      </c>
      <c r="K26">
        <f t="shared" si="13"/>
        <v>21</v>
      </c>
      <c r="L26" t="str">
        <f t="shared" si="14"/>
        <v>18.55</v>
      </c>
      <c r="M26" t="str">
        <f t="shared" si="15"/>
        <v>10.75 5550 1450</v>
      </c>
      <c r="N26">
        <f t="shared" si="16"/>
        <v>6</v>
      </c>
      <c r="O26">
        <f t="shared" si="17"/>
        <v>15</v>
      </c>
      <c r="P26" t="str">
        <f t="shared" si="18"/>
        <v>10.75</v>
      </c>
      <c r="Q26" t="str">
        <f t="shared" si="19"/>
        <v>5550 1450</v>
      </c>
      <c r="R26">
        <f t="shared" si="0"/>
        <v>5</v>
      </c>
      <c r="S26">
        <f t="shared" si="20"/>
        <v>9</v>
      </c>
      <c r="T26" t="str">
        <f t="shared" si="21"/>
        <v>5550</v>
      </c>
      <c r="U26" t="str">
        <f t="shared" si="22"/>
        <v>1450</v>
      </c>
      <c r="Y26" t="s">
        <v>87</v>
      </c>
    </row>
    <row r="27" spans="1:25" x14ac:dyDescent="0.25">
      <c r="A27" t="s">
        <v>22</v>
      </c>
      <c r="B27">
        <f t="shared" si="4"/>
        <v>7</v>
      </c>
      <c r="C27">
        <f t="shared" si="5"/>
        <v>34</v>
      </c>
      <c r="D27" t="str">
        <f t="shared" si="6"/>
        <v>TL2831</v>
      </c>
      <c r="E27" t="str">
        <f t="shared" si="7"/>
        <v>15*5.5 18.5 14.87 5225 1900</v>
      </c>
      <c r="F27">
        <f t="shared" si="8"/>
        <v>7</v>
      </c>
      <c r="G27">
        <f t="shared" si="9"/>
        <v>27</v>
      </c>
      <c r="H27" t="str">
        <f t="shared" si="10"/>
        <v>15*5.5</v>
      </c>
      <c r="I27" t="str">
        <f t="shared" si="11"/>
        <v>18.5 14.87 5225 1900</v>
      </c>
      <c r="J27">
        <f t="shared" si="12"/>
        <v>5</v>
      </c>
      <c r="K27">
        <f t="shared" si="13"/>
        <v>20</v>
      </c>
      <c r="L27" t="str">
        <f t="shared" si="14"/>
        <v>18.5</v>
      </c>
      <c r="M27" t="str">
        <f t="shared" si="15"/>
        <v>14.87 5225 1900</v>
      </c>
      <c r="N27">
        <f t="shared" si="16"/>
        <v>6</v>
      </c>
      <c r="O27">
        <f t="shared" si="17"/>
        <v>15</v>
      </c>
      <c r="P27" t="str">
        <f t="shared" si="18"/>
        <v>14.87</v>
      </c>
      <c r="Q27" t="str">
        <f t="shared" si="19"/>
        <v>5225 1900</v>
      </c>
      <c r="R27">
        <f t="shared" si="0"/>
        <v>5</v>
      </c>
      <c r="S27">
        <f t="shared" si="20"/>
        <v>9</v>
      </c>
      <c r="T27" t="str">
        <f t="shared" si="21"/>
        <v>5225</v>
      </c>
      <c r="U27" t="str">
        <f t="shared" si="22"/>
        <v>1900</v>
      </c>
      <c r="Y27" t="s">
        <v>88</v>
      </c>
    </row>
    <row r="28" spans="1:25" x14ac:dyDescent="0.25">
      <c r="A28" t="s">
        <v>23</v>
      </c>
      <c r="B28">
        <f t="shared" si="4"/>
        <v>7</v>
      </c>
      <c r="C28">
        <f t="shared" si="5"/>
        <v>35</v>
      </c>
      <c r="D28" t="str">
        <f t="shared" si="6"/>
        <v>TL2813</v>
      </c>
      <c r="E28" t="str">
        <f t="shared" si="7"/>
        <v>15*5.5 18.53 10.86 5525 1625</v>
      </c>
      <c r="F28">
        <f t="shared" si="8"/>
        <v>7</v>
      </c>
      <c r="G28">
        <f t="shared" si="9"/>
        <v>28</v>
      </c>
      <c r="H28" t="str">
        <f t="shared" si="10"/>
        <v>15*5.5</v>
      </c>
      <c r="I28" t="str">
        <f t="shared" si="11"/>
        <v>18.53 10.86 5525 1625</v>
      </c>
      <c r="J28">
        <f t="shared" si="12"/>
        <v>6</v>
      </c>
      <c r="K28">
        <f t="shared" si="13"/>
        <v>21</v>
      </c>
      <c r="L28" t="str">
        <f t="shared" si="14"/>
        <v>18.53</v>
      </c>
      <c r="M28" t="str">
        <f t="shared" si="15"/>
        <v>10.86 5525 1625</v>
      </c>
      <c r="N28">
        <f t="shared" si="16"/>
        <v>6</v>
      </c>
      <c r="O28">
        <f t="shared" si="17"/>
        <v>15</v>
      </c>
      <c r="P28" t="str">
        <f t="shared" si="18"/>
        <v>10.86</v>
      </c>
      <c r="Q28" t="str">
        <f t="shared" si="19"/>
        <v>5525 1625</v>
      </c>
      <c r="R28">
        <f t="shared" si="0"/>
        <v>5</v>
      </c>
      <c r="S28">
        <f t="shared" si="20"/>
        <v>9</v>
      </c>
      <c r="T28" t="str">
        <f t="shared" si="21"/>
        <v>5525</v>
      </c>
      <c r="U28" t="str">
        <f t="shared" si="22"/>
        <v>1625</v>
      </c>
      <c r="Y28" t="s">
        <v>84</v>
      </c>
    </row>
    <row r="29" spans="1:25" x14ac:dyDescent="0.25">
      <c r="A29" t="s">
        <v>24</v>
      </c>
      <c r="B29">
        <f t="shared" si="4"/>
        <v>7</v>
      </c>
      <c r="C29">
        <f t="shared" si="5"/>
        <v>34</v>
      </c>
      <c r="D29" t="str">
        <f t="shared" si="6"/>
        <v>TL2834</v>
      </c>
      <c r="E29" t="str">
        <f t="shared" si="7"/>
        <v>15*7.5 18.53 10.7 5575 1550</v>
      </c>
      <c r="F29">
        <f t="shared" si="8"/>
        <v>7</v>
      </c>
      <c r="G29">
        <f t="shared" si="9"/>
        <v>27</v>
      </c>
      <c r="H29" t="str">
        <f t="shared" si="10"/>
        <v>15*7.5</v>
      </c>
      <c r="I29" t="str">
        <f t="shared" si="11"/>
        <v>18.53 10.7 5575 1550</v>
      </c>
      <c r="J29">
        <f t="shared" si="12"/>
        <v>6</v>
      </c>
      <c r="K29">
        <f t="shared" si="13"/>
        <v>20</v>
      </c>
      <c r="L29" t="str">
        <f t="shared" si="14"/>
        <v>18.53</v>
      </c>
      <c r="M29" t="str">
        <f t="shared" si="15"/>
        <v>10.7 5575 1550</v>
      </c>
      <c r="N29">
        <f t="shared" si="16"/>
        <v>5</v>
      </c>
      <c r="O29">
        <f t="shared" si="17"/>
        <v>14</v>
      </c>
      <c r="P29" t="str">
        <f t="shared" si="18"/>
        <v>10.7</v>
      </c>
      <c r="Q29" t="str">
        <f t="shared" si="19"/>
        <v>5575 1550</v>
      </c>
      <c r="R29">
        <f t="shared" si="0"/>
        <v>5</v>
      </c>
      <c r="S29">
        <f t="shared" si="20"/>
        <v>9</v>
      </c>
      <c r="T29" t="str">
        <f t="shared" si="21"/>
        <v>5575</v>
      </c>
      <c r="U29" t="str">
        <f t="shared" si="22"/>
        <v>1550</v>
      </c>
      <c r="Y29" t="s">
        <v>84</v>
      </c>
    </row>
    <row r="30" spans="1:25" x14ac:dyDescent="0.25">
      <c r="A30" t="s">
        <v>25</v>
      </c>
      <c r="B30">
        <f t="shared" si="4"/>
        <v>7</v>
      </c>
      <c r="C30">
        <f t="shared" si="5"/>
        <v>34</v>
      </c>
      <c r="D30" t="str">
        <f t="shared" si="6"/>
        <v>TL2814</v>
      </c>
      <c r="E30" t="str">
        <f t="shared" si="7"/>
        <v>16*5.0 18.5 21.05 4750 1950</v>
      </c>
      <c r="F30">
        <f t="shared" si="8"/>
        <v>7</v>
      </c>
      <c r="G30">
        <f t="shared" si="9"/>
        <v>27</v>
      </c>
      <c r="H30" t="str">
        <f t="shared" si="10"/>
        <v>16*5.0</v>
      </c>
      <c r="I30" t="str">
        <f t="shared" si="11"/>
        <v>18.5 21.05 4750 1950</v>
      </c>
      <c r="J30">
        <f t="shared" si="12"/>
        <v>5</v>
      </c>
      <c r="K30">
        <f t="shared" si="13"/>
        <v>20</v>
      </c>
      <c r="L30" t="str">
        <f t="shared" si="14"/>
        <v>18.5</v>
      </c>
      <c r="M30" t="str">
        <f t="shared" si="15"/>
        <v>21.05 4750 1950</v>
      </c>
      <c r="N30">
        <f t="shared" si="16"/>
        <v>6</v>
      </c>
      <c r="O30">
        <f t="shared" si="17"/>
        <v>15</v>
      </c>
      <c r="P30" t="str">
        <f t="shared" si="18"/>
        <v>21.05</v>
      </c>
      <c r="Q30" t="str">
        <f t="shared" si="19"/>
        <v>4750 1950</v>
      </c>
      <c r="R30">
        <f t="shared" si="0"/>
        <v>5</v>
      </c>
      <c r="S30">
        <f t="shared" si="20"/>
        <v>9</v>
      </c>
      <c r="T30" t="str">
        <f t="shared" si="21"/>
        <v>4750</v>
      </c>
      <c r="U30" t="str">
        <f t="shared" si="22"/>
        <v>1950</v>
      </c>
      <c r="Y30" t="s">
        <v>88</v>
      </c>
    </row>
    <row r="31" spans="1:25" x14ac:dyDescent="0.25">
      <c r="A31" t="s">
        <v>26</v>
      </c>
      <c r="B31">
        <f t="shared" si="4"/>
        <v>7</v>
      </c>
      <c r="C31">
        <f t="shared" si="5"/>
        <v>35</v>
      </c>
      <c r="D31" t="str">
        <f t="shared" si="6"/>
        <v>TL2835</v>
      </c>
      <c r="E31" t="str">
        <f t="shared" si="7"/>
        <v>16*5.5 18.54 19.21 4925 2075</v>
      </c>
      <c r="F31">
        <f t="shared" si="8"/>
        <v>7</v>
      </c>
      <c r="G31">
        <f t="shared" si="9"/>
        <v>28</v>
      </c>
      <c r="H31" t="str">
        <f t="shared" si="10"/>
        <v>16*5.5</v>
      </c>
      <c r="I31" t="str">
        <f t="shared" si="11"/>
        <v>18.54 19.21 4925 2075</v>
      </c>
      <c r="J31">
        <f t="shared" si="12"/>
        <v>6</v>
      </c>
      <c r="K31">
        <f t="shared" si="13"/>
        <v>21</v>
      </c>
      <c r="L31" t="str">
        <f t="shared" si="14"/>
        <v>18.54</v>
      </c>
      <c r="M31" t="str">
        <f t="shared" si="15"/>
        <v>19.21 4925 2075</v>
      </c>
      <c r="N31">
        <f t="shared" si="16"/>
        <v>6</v>
      </c>
      <c r="O31">
        <f t="shared" si="17"/>
        <v>15</v>
      </c>
      <c r="P31" t="str">
        <f t="shared" si="18"/>
        <v>19.21</v>
      </c>
      <c r="Q31" t="str">
        <f t="shared" si="19"/>
        <v>4925 2075</v>
      </c>
      <c r="R31">
        <f t="shared" si="0"/>
        <v>5</v>
      </c>
      <c r="S31">
        <f t="shared" si="20"/>
        <v>9</v>
      </c>
      <c r="T31" t="str">
        <f t="shared" si="21"/>
        <v>4925</v>
      </c>
      <c r="U31" t="str">
        <f t="shared" si="22"/>
        <v>2075</v>
      </c>
      <c r="Y31" t="s">
        <v>89</v>
      </c>
    </row>
    <row r="32" spans="1:25" x14ac:dyDescent="0.25">
      <c r="A32" t="s">
        <v>27</v>
      </c>
      <c r="B32">
        <f t="shared" si="4"/>
        <v>7</v>
      </c>
      <c r="C32">
        <f t="shared" si="5"/>
        <v>34</v>
      </c>
      <c r="D32" t="str">
        <f t="shared" si="6"/>
        <v>TL2815</v>
      </c>
      <c r="E32" t="str">
        <f t="shared" si="7"/>
        <v>17*5.5 18.5 16.78 5100 2275</v>
      </c>
      <c r="F32">
        <f t="shared" si="8"/>
        <v>7</v>
      </c>
      <c r="G32">
        <f t="shared" si="9"/>
        <v>27</v>
      </c>
      <c r="H32" t="str">
        <f t="shared" si="10"/>
        <v>17*5.5</v>
      </c>
      <c r="I32" t="str">
        <f t="shared" si="11"/>
        <v>18.5 16.78 5100 2275</v>
      </c>
      <c r="J32">
        <f t="shared" si="12"/>
        <v>5</v>
      </c>
      <c r="K32">
        <f t="shared" si="13"/>
        <v>20</v>
      </c>
      <c r="L32" t="str">
        <f t="shared" si="14"/>
        <v>18.5</v>
      </c>
      <c r="M32" t="str">
        <f t="shared" si="15"/>
        <v>16.78 5100 2275</v>
      </c>
      <c r="N32">
        <f t="shared" si="16"/>
        <v>6</v>
      </c>
      <c r="O32">
        <f t="shared" si="17"/>
        <v>15</v>
      </c>
      <c r="P32" t="str">
        <f t="shared" si="18"/>
        <v>16.78</v>
      </c>
      <c r="Q32" t="str">
        <f t="shared" si="19"/>
        <v>5100 2275</v>
      </c>
      <c r="R32">
        <f t="shared" si="0"/>
        <v>5</v>
      </c>
      <c r="S32">
        <f t="shared" si="20"/>
        <v>9</v>
      </c>
      <c r="T32" t="str">
        <f t="shared" si="21"/>
        <v>5100</v>
      </c>
      <c r="U32" t="str">
        <f t="shared" si="22"/>
        <v>2275</v>
      </c>
      <c r="Y32" t="s">
        <v>88</v>
      </c>
    </row>
    <row r="33" spans="1:25" x14ac:dyDescent="0.25">
      <c r="A33" t="s">
        <v>28</v>
      </c>
      <c r="B33">
        <f t="shared" si="4"/>
        <v>7</v>
      </c>
      <c r="C33">
        <f t="shared" si="5"/>
        <v>35</v>
      </c>
      <c r="D33" t="str">
        <f t="shared" si="6"/>
        <v>TL2822</v>
      </c>
      <c r="E33" t="str">
        <f t="shared" si="7"/>
        <v>18*5.5 18.52 21.62 4675 2650</v>
      </c>
      <c r="F33">
        <f t="shared" si="8"/>
        <v>7</v>
      </c>
      <c r="G33">
        <f t="shared" si="9"/>
        <v>28</v>
      </c>
      <c r="H33" t="str">
        <f t="shared" si="10"/>
        <v>18*5.5</v>
      </c>
      <c r="I33" t="str">
        <f t="shared" si="11"/>
        <v>18.52 21.62 4675 2650</v>
      </c>
      <c r="J33">
        <f t="shared" si="12"/>
        <v>6</v>
      </c>
      <c r="K33">
        <f t="shared" si="13"/>
        <v>21</v>
      </c>
      <c r="L33" t="str">
        <f t="shared" si="14"/>
        <v>18.52</v>
      </c>
      <c r="M33" t="str">
        <f t="shared" si="15"/>
        <v>21.62 4675 2650</v>
      </c>
      <c r="N33">
        <f t="shared" si="16"/>
        <v>6</v>
      </c>
      <c r="O33">
        <f t="shared" si="17"/>
        <v>15</v>
      </c>
      <c r="P33" t="str">
        <f t="shared" si="18"/>
        <v>21.62</v>
      </c>
      <c r="Q33" t="str">
        <f t="shared" si="19"/>
        <v>4675 2650</v>
      </c>
      <c r="R33">
        <f t="shared" si="0"/>
        <v>5</v>
      </c>
      <c r="S33">
        <f t="shared" si="20"/>
        <v>9</v>
      </c>
      <c r="T33" t="str">
        <f t="shared" si="21"/>
        <v>4675</v>
      </c>
      <c r="U33" t="str">
        <f t="shared" si="22"/>
        <v>2650</v>
      </c>
      <c r="Y33" t="s">
        <v>86</v>
      </c>
    </row>
    <row r="34" spans="1:25" x14ac:dyDescent="0.25">
      <c r="A34" t="s">
        <v>63</v>
      </c>
      <c r="B34" t="e">
        <f t="shared" si="4"/>
        <v>#VALUE!</v>
      </c>
      <c r="C34">
        <f t="shared" si="5"/>
        <v>2</v>
      </c>
    </row>
    <row r="35" spans="1:25" x14ac:dyDescent="0.25">
      <c r="A35" t="s">
        <v>29</v>
      </c>
      <c r="B35">
        <f t="shared" si="4"/>
        <v>7</v>
      </c>
      <c r="C35">
        <f t="shared" si="5"/>
        <v>33</v>
      </c>
      <c r="D35" t="str">
        <f t="shared" si="6"/>
        <v>TL2826</v>
      </c>
      <c r="E35" t="str">
        <f t="shared" si="7"/>
        <v>10*5.5 22.32 3.72 7525 575</v>
      </c>
      <c r="F35">
        <f t="shared" si="8"/>
        <v>7</v>
      </c>
      <c r="G35">
        <f t="shared" si="9"/>
        <v>26</v>
      </c>
      <c r="H35" t="str">
        <f t="shared" si="10"/>
        <v>10*5.5</v>
      </c>
      <c r="I35" t="str">
        <f t="shared" si="11"/>
        <v>22.32 3.72 7525 575</v>
      </c>
      <c r="J35">
        <f t="shared" si="12"/>
        <v>6</v>
      </c>
      <c r="K35">
        <f t="shared" si="13"/>
        <v>19</v>
      </c>
      <c r="L35" t="str">
        <f t="shared" si="14"/>
        <v>22.32</v>
      </c>
      <c r="M35" t="str">
        <f t="shared" si="15"/>
        <v>3.72 7525 575</v>
      </c>
      <c r="N35">
        <f t="shared" si="16"/>
        <v>5</v>
      </c>
      <c r="O35">
        <f t="shared" si="17"/>
        <v>13</v>
      </c>
      <c r="P35" t="str">
        <f t="shared" si="18"/>
        <v>3.72</v>
      </c>
      <c r="Q35" t="str">
        <f t="shared" si="19"/>
        <v>7525 575</v>
      </c>
      <c r="R35">
        <f t="shared" si="0"/>
        <v>5</v>
      </c>
      <c r="S35">
        <f t="shared" si="20"/>
        <v>8</v>
      </c>
      <c r="T35" t="str">
        <f t="shared" si="21"/>
        <v>7525</v>
      </c>
      <c r="U35" t="str">
        <f t="shared" si="22"/>
        <v>575</v>
      </c>
      <c r="Y35" t="s">
        <v>90</v>
      </c>
    </row>
    <row r="36" spans="1:25" x14ac:dyDescent="0.25">
      <c r="A36" t="s">
        <v>30</v>
      </c>
      <c r="B36">
        <f t="shared" si="4"/>
        <v>7</v>
      </c>
      <c r="C36">
        <f t="shared" si="5"/>
        <v>30</v>
      </c>
      <c r="D36" t="str">
        <f t="shared" si="6"/>
        <v>TL2827</v>
      </c>
      <c r="E36" t="str">
        <f t="shared" si="7"/>
        <v>11*5.5 22.27 6 7250 950</v>
      </c>
      <c r="F36">
        <f t="shared" si="8"/>
        <v>7</v>
      </c>
      <c r="G36">
        <f t="shared" si="9"/>
        <v>23</v>
      </c>
      <c r="H36" t="str">
        <f t="shared" si="10"/>
        <v>11*5.5</v>
      </c>
      <c r="I36" t="str">
        <f t="shared" si="11"/>
        <v>22.27 6 7250 950</v>
      </c>
      <c r="J36">
        <f t="shared" si="12"/>
        <v>6</v>
      </c>
      <c r="K36">
        <f t="shared" si="13"/>
        <v>16</v>
      </c>
      <c r="L36" t="str">
        <f t="shared" si="14"/>
        <v>22.27</v>
      </c>
      <c r="M36" t="str">
        <f t="shared" si="15"/>
        <v>6 7250 950</v>
      </c>
      <c r="N36">
        <f t="shared" si="16"/>
        <v>2</v>
      </c>
      <c r="O36">
        <f t="shared" si="17"/>
        <v>10</v>
      </c>
      <c r="P36" t="str">
        <f t="shared" si="18"/>
        <v>6</v>
      </c>
      <c r="Q36" t="str">
        <f t="shared" si="19"/>
        <v>7250 950</v>
      </c>
      <c r="R36">
        <f t="shared" si="0"/>
        <v>5</v>
      </c>
      <c r="S36">
        <f t="shared" si="20"/>
        <v>8</v>
      </c>
      <c r="T36" t="str">
        <f t="shared" si="21"/>
        <v>7250</v>
      </c>
      <c r="U36" t="str">
        <f t="shared" si="22"/>
        <v>950</v>
      </c>
      <c r="Y36" t="s">
        <v>91</v>
      </c>
    </row>
    <row r="37" spans="1:25" x14ac:dyDescent="0.25">
      <c r="A37" t="s">
        <v>31</v>
      </c>
      <c r="B37">
        <f t="shared" si="4"/>
        <v>7</v>
      </c>
      <c r="C37">
        <f t="shared" si="5"/>
        <v>34</v>
      </c>
      <c r="D37" t="str">
        <f t="shared" si="6"/>
        <v>TL2828</v>
      </c>
      <c r="E37" t="str">
        <f t="shared" si="7"/>
        <v>12*5.5 22.27 8.11 7050 1225</v>
      </c>
      <c r="F37">
        <f t="shared" si="8"/>
        <v>7</v>
      </c>
      <c r="G37">
        <f t="shared" si="9"/>
        <v>27</v>
      </c>
      <c r="H37" t="str">
        <f t="shared" si="10"/>
        <v>12*5.5</v>
      </c>
      <c r="I37" t="str">
        <f t="shared" si="11"/>
        <v>22.27 8.11 7050 1225</v>
      </c>
      <c r="J37">
        <f t="shared" si="12"/>
        <v>6</v>
      </c>
      <c r="K37">
        <f t="shared" si="13"/>
        <v>20</v>
      </c>
      <c r="L37" t="str">
        <f t="shared" si="14"/>
        <v>22.27</v>
      </c>
      <c r="M37" t="str">
        <f t="shared" si="15"/>
        <v>8.11 7050 1225</v>
      </c>
      <c r="N37">
        <f t="shared" si="16"/>
        <v>5</v>
      </c>
      <c r="O37">
        <f t="shared" si="17"/>
        <v>14</v>
      </c>
      <c r="P37" t="str">
        <f t="shared" si="18"/>
        <v>8.11</v>
      </c>
      <c r="Q37" t="str">
        <f t="shared" si="19"/>
        <v>7050 1225</v>
      </c>
      <c r="R37">
        <f t="shared" si="0"/>
        <v>5</v>
      </c>
      <c r="S37">
        <f t="shared" si="20"/>
        <v>9</v>
      </c>
      <c r="T37" t="str">
        <f t="shared" si="21"/>
        <v>7050</v>
      </c>
      <c r="U37" t="str">
        <f t="shared" si="22"/>
        <v>1225</v>
      </c>
      <c r="Y37" t="s">
        <v>91</v>
      </c>
    </row>
    <row r="38" spans="1:25" x14ac:dyDescent="0.25">
      <c r="A38" t="s">
        <v>32</v>
      </c>
      <c r="B38">
        <f t="shared" si="4"/>
        <v>7</v>
      </c>
      <c r="C38">
        <f t="shared" si="5"/>
        <v>34</v>
      </c>
      <c r="D38" t="str">
        <f t="shared" si="6"/>
        <v>TL2829</v>
      </c>
      <c r="E38" t="str">
        <f t="shared" si="7"/>
        <v>13*5.5 22.29 11.5 6750 1675</v>
      </c>
      <c r="F38">
        <f t="shared" si="8"/>
        <v>7</v>
      </c>
      <c r="G38">
        <f t="shared" si="9"/>
        <v>27</v>
      </c>
      <c r="H38" t="str">
        <f t="shared" si="10"/>
        <v>13*5.5</v>
      </c>
      <c r="I38" t="str">
        <f t="shared" si="11"/>
        <v>22.29 11.5 6750 1675</v>
      </c>
      <c r="J38">
        <f t="shared" si="12"/>
        <v>6</v>
      </c>
      <c r="K38">
        <f t="shared" si="13"/>
        <v>20</v>
      </c>
      <c r="L38" t="str">
        <f t="shared" si="14"/>
        <v>22.29</v>
      </c>
      <c r="M38" t="str">
        <f t="shared" si="15"/>
        <v>11.5 6750 1675</v>
      </c>
      <c r="N38">
        <f t="shared" si="16"/>
        <v>5</v>
      </c>
      <c r="O38">
        <f t="shared" si="17"/>
        <v>14</v>
      </c>
      <c r="P38" t="str">
        <f t="shared" si="18"/>
        <v>11.5</v>
      </c>
      <c r="Q38" t="str">
        <f t="shared" si="19"/>
        <v>6750 1675</v>
      </c>
      <c r="R38">
        <f t="shared" si="0"/>
        <v>5</v>
      </c>
      <c r="S38">
        <f t="shared" si="20"/>
        <v>9</v>
      </c>
      <c r="T38" t="str">
        <f t="shared" si="21"/>
        <v>6750</v>
      </c>
      <c r="U38" t="str">
        <f t="shared" si="22"/>
        <v>1675</v>
      </c>
      <c r="Y38" t="s">
        <v>92</v>
      </c>
    </row>
    <row r="39" spans="1:25" x14ac:dyDescent="0.25">
      <c r="A39" t="s">
        <v>33</v>
      </c>
      <c r="B39">
        <f t="shared" si="4"/>
        <v>7</v>
      </c>
      <c r="C39">
        <f t="shared" si="5"/>
        <v>34</v>
      </c>
      <c r="D39" t="str">
        <f t="shared" si="6"/>
        <v>TL2830</v>
      </c>
      <c r="E39" t="str">
        <f t="shared" si="7"/>
        <v>14*5.5 22.53 15.3 6475 2100</v>
      </c>
      <c r="F39">
        <f t="shared" si="8"/>
        <v>7</v>
      </c>
      <c r="G39">
        <f t="shared" si="9"/>
        <v>27</v>
      </c>
      <c r="H39" t="str">
        <f t="shared" si="10"/>
        <v>14*5.5</v>
      </c>
      <c r="I39" t="str">
        <f t="shared" si="11"/>
        <v>22.53 15.3 6475 2100</v>
      </c>
      <c r="J39">
        <f t="shared" si="12"/>
        <v>6</v>
      </c>
      <c r="K39">
        <f t="shared" si="13"/>
        <v>20</v>
      </c>
      <c r="L39" t="str">
        <f t="shared" si="14"/>
        <v>22.53</v>
      </c>
      <c r="M39" t="str">
        <f t="shared" si="15"/>
        <v>15.3 6475 2100</v>
      </c>
      <c r="N39">
        <f t="shared" si="16"/>
        <v>5</v>
      </c>
      <c r="O39">
        <f t="shared" si="17"/>
        <v>14</v>
      </c>
      <c r="P39" t="str">
        <f t="shared" si="18"/>
        <v>15.3</v>
      </c>
      <c r="Q39" t="str">
        <f t="shared" si="19"/>
        <v>6475 2100</v>
      </c>
      <c r="R39">
        <f t="shared" si="0"/>
        <v>5</v>
      </c>
      <c r="S39">
        <f t="shared" si="20"/>
        <v>9</v>
      </c>
      <c r="T39" t="str">
        <f t="shared" si="21"/>
        <v>6475</v>
      </c>
      <c r="U39" t="str">
        <f t="shared" si="22"/>
        <v>2100</v>
      </c>
      <c r="Y39" t="s">
        <v>93</v>
      </c>
    </row>
    <row r="40" spans="1:25" x14ac:dyDescent="0.25">
      <c r="A40" t="s">
        <v>34</v>
      </c>
      <c r="B40">
        <f t="shared" si="4"/>
        <v>7</v>
      </c>
      <c r="C40">
        <f t="shared" si="5"/>
        <v>35</v>
      </c>
      <c r="D40" t="str">
        <f t="shared" si="6"/>
        <v>TL2831</v>
      </c>
      <c r="E40" t="str">
        <f t="shared" si="7"/>
        <v>15*5.5 22.57 20.65 6050 2700</v>
      </c>
      <c r="F40">
        <f t="shared" si="8"/>
        <v>7</v>
      </c>
      <c r="G40">
        <f t="shared" si="9"/>
        <v>28</v>
      </c>
      <c r="H40" t="str">
        <f t="shared" si="10"/>
        <v>15*5.5</v>
      </c>
      <c r="I40" t="str">
        <f t="shared" si="11"/>
        <v>22.57 20.65 6050 2700</v>
      </c>
      <c r="J40">
        <f t="shared" si="12"/>
        <v>6</v>
      </c>
      <c r="K40">
        <f t="shared" si="13"/>
        <v>21</v>
      </c>
      <c r="L40" t="str">
        <f t="shared" si="14"/>
        <v>22.57</v>
      </c>
      <c r="M40" t="str">
        <f t="shared" si="15"/>
        <v>20.65 6050 2700</v>
      </c>
      <c r="N40">
        <f t="shared" si="16"/>
        <v>6</v>
      </c>
      <c r="O40">
        <f t="shared" si="17"/>
        <v>15</v>
      </c>
      <c r="P40" t="str">
        <f t="shared" si="18"/>
        <v>20.65</v>
      </c>
      <c r="Q40" t="str">
        <f t="shared" si="19"/>
        <v>6050 2700</v>
      </c>
      <c r="R40">
        <f t="shared" si="0"/>
        <v>5</v>
      </c>
      <c r="S40">
        <f t="shared" si="20"/>
        <v>9</v>
      </c>
      <c r="T40" t="str">
        <f t="shared" si="21"/>
        <v>6050</v>
      </c>
      <c r="U40" t="str">
        <f t="shared" si="22"/>
        <v>2700</v>
      </c>
      <c r="Y40" t="s">
        <v>94</v>
      </c>
    </row>
    <row r="41" spans="1:25" x14ac:dyDescent="0.25">
      <c r="A41" t="s">
        <v>35</v>
      </c>
      <c r="B41">
        <f t="shared" si="4"/>
        <v>7</v>
      </c>
      <c r="C41">
        <f t="shared" si="5"/>
        <v>34</v>
      </c>
      <c r="D41" t="str">
        <f t="shared" si="6"/>
        <v>TL2813</v>
      </c>
      <c r="E41" t="str">
        <f t="shared" si="7"/>
        <v>15*5.5 22.3 14.56 6450 2175</v>
      </c>
      <c r="F41">
        <f t="shared" si="8"/>
        <v>7</v>
      </c>
      <c r="G41">
        <f t="shared" si="9"/>
        <v>27</v>
      </c>
      <c r="H41" t="str">
        <f t="shared" si="10"/>
        <v>15*5.5</v>
      </c>
      <c r="I41" t="str">
        <f t="shared" si="11"/>
        <v>22.3 14.56 6450 2175</v>
      </c>
      <c r="J41">
        <f t="shared" si="12"/>
        <v>5</v>
      </c>
      <c r="K41">
        <f t="shared" si="13"/>
        <v>20</v>
      </c>
      <c r="L41" t="str">
        <f t="shared" si="14"/>
        <v>22.3</v>
      </c>
      <c r="M41" t="str">
        <f t="shared" si="15"/>
        <v>14.56 6450 2175</v>
      </c>
      <c r="N41">
        <f t="shared" si="16"/>
        <v>6</v>
      </c>
      <c r="O41">
        <f t="shared" si="17"/>
        <v>15</v>
      </c>
      <c r="P41" t="str">
        <f t="shared" si="18"/>
        <v>14.56</v>
      </c>
      <c r="Q41" t="str">
        <f t="shared" si="19"/>
        <v>6450 2175</v>
      </c>
      <c r="R41">
        <f t="shared" si="0"/>
        <v>5</v>
      </c>
      <c r="S41">
        <f t="shared" si="20"/>
        <v>9</v>
      </c>
      <c r="T41" t="str">
        <f t="shared" si="21"/>
        <v>6450</v>
      </c>
      <c r="U41" t="str">
        <f t="shared" si="22"/>
        <v>2175</v>
      </c>
      <c r="Y41" t="s">
        <v>95</v>
      </c>
    </row>
    <row r="42" spans="1:25" x14ac:dyDescent="0.25">
      <c r="A42" t="s">
        <v>36</v>
      </c>
      <c r="B42">
        <f t="shared" si="4"/>
        <v>7</v>
      </c>
      <c r="C42">
        <f t="shared" si="5"/>
        <v>35</v>
      </c>
      <c r="D42" t="str">
        <f t="shared" si="6"/>
        <v>TL2834</v>
      </c>
      <c r="E42" t="str">
        <f t="shared" si="7"/>
        <v>15*7.5 22.19 14.47 6425 2100</v>
      </c>
      <c r="F42">
        <f t="shared" si="8"/>
        <v>7</v>
      </c>
      <c r="G42">
        <f t="shared" si="9"/>
        <v>28</v>
      </c>
      <c r="H42" t="str">
        <f t="shared" si="10"/>
        <v>15*7.5</v>
      </c>
      <c r="I42" t="str">
        <f t="shared" si="11"/>
        <v>22.19 14.47 6425 2100</v>
      </c>
      <c r="J42">
        <f t="shared" si="12"/>
        <v>6</v>
      </c>
      <c r="K42">
        <f t="shared" si="13"/>
        <v>21</v>
      </c>
      <c r="L42" t="str">
        <f t="shared" si="14"/>
        <v>22.19</v>
      </c>
      <c r="M42" t="str">
        <f t="shared" si="15"/>
        <v>14.47 6425 2100</v>
      </c>
      <c r="N42">
        <f t="shared" si="16"/>
        <v>6</v>
      </c>
      <c r="O42">
        <f t="shared" si="17"/>
        <v>15</v>
      </c>
      <c r="P42" t="str">
        <f t="shared" si="18"/>
        <v>14.47</v>
      </c>
      <c r="Q42" t="str">
        <f t="shared" si="19"/>
        <v>6425 2100</v>
      </c>
      <c r="R42">
        <f t="shared" si="0"/>
        <v>5</v>
      </c>
      <c r="S42">
        <f t="shared" si="20"/>
        <v>9</v>
      </c>
      <c r="T42" t="str">
        <f t="shared" si="21"/>
        <v>6425</v>
      </c>
      <c r="U42" t="str">
        <f t="shared" si="22"/>
        <v>2100</v>
      </c>
      <c r="Y42" t="s">
        <v>96</v>
      </c>
    </row>
    <row r="43" spans="1:25" x14ac:dyDescent="0.25">
      <c r="A43" t="s">
        <v>62</v>
      </c>
      <c r="B43">
        <f t="shared" si="4"/>
        <v>7</v>
      </c>
      <c r="C43">
        <f t="shared" si="5"/>
        <v>35</v>
      </c>
      <c r="D43" t="str">
        <f t="shared" si="6"/>
        <v>TL2815</v>
      </c>
      <c r="E43" t="str">
        <f t="shared" si="7"/>
        <v>17*5.5 22.13 22.02 5725 2925</v>
      </c>
      <c r="F43">
        <f t="shared" si="8"/>
        <v>7</v>
      </c>
      <c r="G43">
        <f t="shared" si="9"/>
        <v>28</v>
      </c>
      <c r="H43" t="str">
        <f t="shared" si="10"/>
        <v>17*5.5</v>
      </c>
      <c r="I43" t="str">
        <f t="shared" si="11"/>
        <v>22.13 22.02 5725 2925</v>
      </c>
      <c r="J43">
        <f t="shared" si="12"/>
        <v>6</v>
      </c>
      <c r="K43">
        <f t="shared" si="13"/>
        <v>21</v>
      </c>
      <c r="L43" t="str">
        <f t="shared" si="14"/>
        <v>22.13</v>
      </c>
      <c r="M43" t="str">
        <f t="shared" si="15"/>
        <v>22.02 5725 2925</v>
      </c>
      <c r="N43">
        <f t="shared" si="16"/>
        <v>6</v>
      </c>
      <c r="O43">
        <f t="shared" si="17"/>
        <v>15</v>
      </c>
      <c r="P43" t="str">
        <f t="shared" si="18"/>
        <v>22.02</v>
      </c>
      <c r="Q43" t="str">
        <f t="shared" si="19"/>
        <v>5725 2925</v>
      </c>
      <c r="R43">
        <f t="shared" si="0"/>
        <v>5</v>
      </c>
      <c r="S43">
        <f t="shared" si="20"/>
        <v>9</v>
      </c>
      <c r="T43" t="str">
        <f t="shared" si="21"/>
        <v>5725</v>
      </c>
      <c r="U43" t="str">
        <f t="shared" si="22"/>
        <v>2925</v>
      </c>
      <c r="Y43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sqref="A1:A9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M-4010-360KV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2014-04-12T18:38:00Z</dcterms:created>
  <dcterms:modified xsi:type="dcterms:W3CDTF">2014-04-13T04:41:02Z</dcterms:modified>
</cp:coreProperties>
</file>