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autoCompressPictures="0"/>
  <mc:AlternateContent xmlns:mc="http://schemas.openxmlformats.org/markup-compatibility/2006">
    <mc:Choice Requires="x15">
      <x15ac:absPath xmlns:x15ac="http://schemas.microsoft.com/office/spreadsheetml/2010/11/ac" url="C:\Users\Tony\Dropbox\Kickstarter TK\"/>
    </mc:Choice>
  </mc:AlternateContent>
  <bookViews>
    <workbookView xWindow="945" yWindow="0" windowWidth="18255" windowHeight="8820" tabRatio="880" activeTab="8"/>
  </bookViews>
  <sheets>
    <sheet name="BOM Summary" sheetId="10" r:id="rId1"/>
    <sheet name="Budget" sheetId="19" r:id="rId2"/>
    <sheet name="1. Multirotor Frames" sheetId="6" r:id="rId3"/>
    <sheet name="2. Flight Controllers" sheetId="7" r:id="rId4"/>
    <sheet name="3. Transmitters" sheetId="15" r:id="rId5"/>
    <sheet name="4. Receivers" sheetId="11" r:id="rId6"/>
    <sheet name="5. Cameras" sheetId="18" r:id="rId7"/>
    <sheet name="6. Gimbals" sheetId="13" r:id="rId8"/>
    <sheet name="7. Motors" sheetId="3" r:id="rId9"/>
    <sheet name="8. ESCs" sheetId="16" r:id="rId10"/>
    <sheet name="9. Batteries" sheetId="8" r:id="rId11"/>
    <sheet name="10. Propellers" sheetId="14" r:id="rId12"/>
    <sheet name="11. Accessories" sheetId="17" r:id="rId13"/>
    <sheet name="Scorecard" sheetId="1" r:id="rId14"/>
  </sheets>
  <definedNames>
    <definedName name="_xlnm._FilterDatabase" localSheetId="0" hidden="1">'BOM Summary'!$A$2:$K$14</definedName>
    <definedName name="Acc_Brand">'11. Accessories'!$B$3:$B$4</definedName>
    <definedName name="Acc_Link">'11. Accessories'!$S$3:$S$4</definedName>
    <definedName name="Acc_Mass">'11. Accessories'!$K$3:$K$4</definedName>
    <definedName name="Acc_Model">'11. Accessories'!$D$3:$D$4</definedName>
    <definedName name="Acc_Price">'11. Accessories'!$R$3:$R$4</definedName>
    <definedName name="Bat_Brand">'9. Batteries'!$B$3:$B$19</definedName>
    <definedName name="Bat_Link">'9. Batteries'!$P$3:$P$19</definedName>
    <definedName name="Bat_Mass">'9. Batteries'!$L$3:$L$19</definedName>
    <definedName name="Bat_Model">'9. Batteries'!$C$3:$C$19</definedName>
    <definedName name="Bat_Price">'9. Batteries'!$M$3:$M$19</definedName>
    <definedName name="Cam_Brand">#REF!</definedName>
    <definedName name="Cam_Link">'5. Cameras'!$K$3:$K$9</definedName>
    <definedName name="Cam_Mass">#REF!</definedName>
    <definedName name="Cam_Model">#REF!</definedName>
    <definedName name="Cam_Price">#REF!</definedName>
    <definedName name="Camera_Brand">'5. Cameras'!$B$3:$B$9</definedName>
    <definedName name="Camera_Model">'5. Cameras'!$C$3:$C$9</definedName>
    <definedName name="Camera_Price">'5. Cameras'!$J$3:$J$9</definedName>
    <definedName name="ESC_Brand">'8. ESCs'!$B$3:$B$25</definedName>
    <definedName name="ESC_Link">'8. ESCs'!$K$3:$K$30</definedName>
    <definedName name="ESC_Mass">'8. ESCs'!$H$3:$H$25</definedName>
    <definedName name="ESC_Model">'8. ESCs'!$E$3:$E$25</definedName>
    <definedName name="ESC_Model2">'8. ESCs'!$C$3:$C$25</definedName>
    <definedName name="ESC_Model3">'8. ESCs'!$C$3:$C$30</definedName>
    <definedName name="ESC_Price">'8. ESCs'!$J$3:$J$25</definedName>
    <definedName name="FC_Brand">'2. Flight Controllers'!$B$3:$B$9</definedName>
    <definedName name="FC_Link">'2. Flight Controllers'!$K$3:$K$9</definedName>
    <definedName name="FC_Mass">'2. Flight Controllers'!$I$3:$I$9</definedName>
    <definedName name="FC_Model">'2. Flight Controllers'!$C$3:$C$9</definedName>
    <definedName name="FC_Price">'2. Flight Controllers'!$J$3:$J$9</definedName>
    <definedName name="Frame_Brand">'1. Multirotor Frames'!$B$3:$B$23</definedName>
    <definedName name="Frame_Line">'1. Multirotor Frames'!$C$3:$C$23</definedName>
    <definedName name="Frame_Link">'1. Multirotor Frames'!$Q$3:$Q$23</definedName>
    <definedName name="Frame_Mass">'1. Multirotor Frames'!$F$3:$F$23</definedName>
    <definedName name="Frame_Model">'1. Multirotor Frames'!$D$3:$D$23</definedName>
    <definedName name="Frame_Price">'1. Multirotor Frames'!$P$3:$P$23</definedName>
    <definedName name="Framemass">'1. Multirotor Frames'!$F$3:$F$23</definedName>
    <definedName name="Gimbal_Brand">'6. Gimbals'!$H$5</definedName>
    <definedName name="Gimbal_Brand2">'6. Gimbals'!$B$3:$B$10</definedName>
    <definedName name="Gimbal_Link">'6. Gimbals'!$I$3:$I$10</definedName>
    <definedName name="Gimbal_Mass">'6. Gimbals'!$G$3:$G$10</definedName>
    <definedName name="Gimbal_Model">'6. Gimbals'!$C$3:$C$10</definedName>
    <definedName name="Gimbal_Price">'6. Gimbals'!$H$3:$H$10</definedName>
    <definedName name="Motor_Brand">'7. Motors'!$B$2:$B$49</definedName>
    <definedName name="Motor_Link">'7. Motors'!$S$2:$S$49</definedName>
    <definedName name="Motor_Mass">'7. Motors'!$P$2:$P$49</definedName>
    <definedName name="Motor_Model">'7. Motors'!$D$2:$D$49</definedName>
    <definedName name="Motor_Price">'7. Motors'!$R$2:$R$49</definedName>
    <definedName name="Number_of_Motors">'1. Multirotor Frames'!$E$3:$E$23</definedName>
    <definedName name="Prop_Brand">'10. Propellers'!$B$3:$B$30</definedName>
    <definedName name="Prop_Link">'10. Propellers'!$M$3:$M$30</definedName>
    <definedName name="Prop_Mass">'10. Propellers'!$I$3:$I$30</definedName>
    <definedName name="Prop_Model">'10. Propellers'!$D$3:$D$30</definedName>
    <definedName name="Prop_Price">'10. Propellers'!$K$3:$K$30</definedName>
    <definedName name="RC_Brand">'4. Receivers'!$B$3:$B$12</definedName>
    <definedName name="RC_Link">'4. Receivers'!$L$3:$L$12</definedName>
    <definedName name="RC_Mass">'4. Receivers'!$J$3:$J$12</definedName>
    <definedName name="RC_Model">'4. Receivers'!$B$3:$B$12</definedName>
    <definedName name="RC_Model2">'4. Receivers'!$D$3:$D$12</definedName>
    <definedName name="RC_Price">'4. Receivers'!$K$3:$K$12</definedName>
    <definedName name="Tx_Brand">'3. Transmitters'!$B$3:$B$17</definedName>
    <definedName name="Tx_Link">'3. Transmitters'!$L$3:$L$17</definedName>
    <definedName name="Tx_Mass">'3. Transmitters'!#REF!</definedName>
    <definedName name="Tx_Model">'3. Transmitters'!$C$3:$C$17</definedName>
    <definedName name="Tx_Price">'3. Transmitters'!$K$3:$K$17</definedName>
  </definedNames>
  <calcPr calcId="152511" concurrentCalc="0"/>
  <extLst>
    <ext xmlns:x15="http://schemas.microsoft.com/office/spreadsheetml/2010/11/main" uri="{140A7094-0E35-4892-8432-C4D2E57EDEB5}">
      <x15:workbookPr chartTrackingRefBase="1"/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H29" i="10" l="1"/>
  <c r="G29" i="10"/>
  <c r="H30" i="10"/>
  <c r="K10" i="10"/>
  <c r="K13" i="10"/>
  <c r="K12" i="10"/>
  <c r="K11" i="10"/>
  <c r="K9" i="10"/>
  <c r="K8" i="10"/>
  <c r="K7" i="10"/>
  <c r="K6" i="10"/>
  <c r="K5" i="10"/>
  <c r="K4" i="10"/>
  <c r="K3" i="10"/>
  <c r="I4" i="10"/>
  <c r="J4" i="10"/>
  <c r="I5" i="10"/>
  <c r="J5" i="10"/>
  <c r="I6" i="10"/>
  <c r="J6" i="10"/>
  <c r="I7" i="10"/>
  <c r="J7" i="10"/>
  <c r="I8" i="10"/>
  <c r="J8" i="10"/>
  <c r="I9" i="10"/>
  <c r="F9" i="10"/>
  <c r="J9" i="10"/>
  <c r="I10" i="10"/>
  <c r="F10" i="10"/>
  <c r="J10" i="10"/>
  <c r="I11" i="10"/>
  <c r="J11" i="10"/>
  <c r="I12" i="10"/>
  <c r="J12" i="10"/>
  <c r="I13" i="10"/>
  <c r="J13" i="10"/>
  <c r="I3" i="10"/>
  <c r="J3" i="10"/>
  <c r="J14" i="10"/>
  <c r="J15" i="10"/>
  <c r="L4" i="14"/>
  <c r="L5" i="14"/>
  <c r="L6" i="14"/>
  <c r="L7" i="14"/>
  <c r="L8" i="14"/>
  <c r="L9" i="14"/>
  <c r="L10" i="14"/>
  <c r="L11" i="14"/>
  <c r="L12" i="14"/>
  <c r="L13" i="14"/>
  <c r="L14" i="14"/>
  <c r="L15" i="14"/>
  <c r="L16" i="14"/>
  <c r="L17" i="14"/>
  <c r="L18" i="14"/>
  <c r="L19" i="14"/>
  <c r="L20" i="14"/>
  <c r="L21" i="14"/>
  <c r="L22" i="14"/>
  <c r="L23" i="14"/>
  <c r="L24" i="14"/>
  <c r="L25" i="14"/>
  <c r="L26" i="14"/>
  <c r="L27" i="14"/>
  <c r="L28" i="14"/>
  <c r="L29" i="14"/>
  <c r="L30" i="14"/>
  <c r="L3" i="14"/>
  <c r="B3" i="19"/>
  <c r="B4" i="19"/>
  <c r="F29" i="10"/>
  <c r="G30" i="10"/>
  <c r="P18" i="6"/>
  <c r="P19" i="6"/>
  <c r="E29" i="10"/>
  <c r="F30" i="10"/>
  <c r="O4" i="8"/>
  <c r="O5" i="8"/>
  <c r="O6" i="8"/>
  <c r="O7" i="8"/>
  <c r="O8" i="8"/>
  <c r="O9" i="8"/>
  <c r="O10" i="8"/>
  <c r="O11" i="8"/>
  <c r="O12" i="8"/>
  <c r="O13" i="8"/>
  <c r="O14" i="8"/>
  <c r="O15" i="8"/>
  <c r="O16" i="8"/>
  <c r="O17" i="8"/>
  <c r="O18" i="8"/>
  <c r="O19" i="8"/>
  <c r="O3" i="8"/>
  <c r="N4" i="8"/>
  <c r="N5" i="8"/>
  <c r="N6" i="8"/>
  <c r="N7" i="8"/>
  <c r="N8" i="8"/>
  <c r="N9" i="8"/>
  <c r="N10" i="8"/>
  <c r="N11" i="8"/>
  <c r="N12" i="8"/>
  <c r="N13" i="8"/>
  <c r="N14" i="8"/>
  <c r="N15" i="8"/>
  <c r="N16" i="8"/>
  <c r="N17" i="8"/>
  <c r="N18" i="8"/>
  <c r="N19" i="8"/>
  <c r="N3" i="8"/>
  <c r="F50" i="3"/>
  <c r="G50" i="3"/>
  <c r="H50" i="3"/>
  <c r="I50" i="3"/>
  <c r="J50" i="3"/>
  <c r="K50" i="3"/>
  <c r="L50" i="3"/>
  <c r="M50" i="3"/>
  <c r="N50" i="3"/>
  <c r="O50" i="3"/>
  <c r="P50" i="3"/>
  <c r="F51" i="3"/>
  <c r="G51" i="3"/>
  <c r="H51" i="3"/>
  <c r="I51" i="3"/>
  <c r="J51" i="3"/>
  <c r="K51" i="3"/>
  <c r="L51" i="3"/>
  <c r="M51" i="3"/>
  <c r="N51" i="3"/>
  <c r="O51" i="3"/>
  <c r="P51" i="3"/>
  <c r="F52" i="3"/>
  <c r="G52" i="3"/>
  <c r="H52" i="3"/>
  <c r="I52" i="3"/>
  <c r="J52" i="3"/>
  <c r="K52" i="3"/>
  <c r="L52" i="3"/>
  <c r="M52" i="3"/>
  <c r="N52" i="3"/>
  <c r="O52" i="3"/>
  <c r="P52" i="3"/>
  <c r="Q50" i="3"/>
  <c r="Q51" i="3"/>
  <c r="Q52" i="3"/>
  <c r="R52" i="3"/>
  <c r="R51" i="3"/>
  <c r="R50" i="3"/>
  <c r="D29" i="10"/>
  <c r="E30" i="10"/>
  <c r="P26" i="6"/>
  <c r="P25" i="6"/>
  <c r="P24" i="6"/>
  <c r="S5" i="17"/>
  <c r="R4" i="17"/>
  <c r="M21" i="8"/>
  <c r="M22" i="8"/>
  <c r="E20" i="8"/>
  <c r="F20" i="8"/>
  <c r="G20" i="8"/>
  <c r="H20" i="8"/>
  <c r="I20" i="8"/>
  <c r="J20" i="8"/>
  <c r="K20" i="8"/>
  <c r="L20" i="8"/>
  <c r="E21" i="8"/>
  <c r="F21" i="8"/>
  <c r="G21" i="8"/>
  <c r="H21" i="8"/>
  <c r="I21" i="8"/>
  <c r="J21" i="8"/>
  <c r="K21" i="8"/>
  <c r="L21" i="8"/>
  <c r="E22" i="8"/>
  <c r="F22" i="8"/>
  <c r="G22" i="8"/>
  <c r="H22" i="8"/>
  <c r="I22" i="8"/>
  <c r="J22" i="8"/>
  <c r="K22" i="8"/>
  <c r="L22" i="8"/>
  <c r="D22" i="8"/>
  <c r="D21" i="8"/>
  <c r="D20" i="8"/>
  <c r="G12" i="10"/>
  <c r="H12" i="10"/>
  <c r="R3" i="17"/>
  <c r="G11" i="10"/>
  <c r="H11" i="10"/>
  <c r="G3" i="10"/>
  <c r="H3" i="10"/>
  <c r="G4" i="10"/>
  <c r="H4" i="10"/>
  <c r="G6" i="10"/>
  <c r="H6" i="10"/>
  <c r="G7" i="10"/>
  <c r="H7" i="10"/>
  <c r="G8" i="10"/>
  <c r="H8" i="10"/>
  <c r="G9" i="10"/>
  <c r="H9" i="10"/>
  <c r="G10" i="10"/>
  <c r="H10" i="10"/>
  <c r="G13" i="10"/>
  <c r="H13" i="10"/>
  <c r="H14" i="10"/>
  <c r="D7" i="10"/>
  <c r="D41" i="10"/>
  <c r="D38" i="10"/>
  <c r="D12" i="18"/>
  <c r="I12" i="18"/>
  <c r="J12" i="18"/>
  <c r="I10" i="18"/>
  <c r="J10" i="18"/>
  <c r="I11" i="18"/>
  <c r="J11" i="18"/>
  <c r="D10" i="18"/>
  <c r="D11" i="18"/>
  <c r="S50" i="3"/>
  <c r="H11" i="13"/>
  <c r="H12" i="13"/>
  <c r="H13" i="13"/>
  <c r="G11" i="13"/>
  <c r="G12" i="13"/>
  <c r="G13" i="13"/>
  <c r="F13" i="11"/>
  <c r="G13" i="11"/>
  <c r="H13" i="11"/>
  <c r="J13" i="11"/>
  <c r="K13" i="11"/>
  <c r="F14" i="11"/>
  <c r="G14" i="11"/>
  <c r="H14" i="11"/>
  <c r="J14" i="11"/>
  <c r="K14" i="11"/>
  <c r="F15" i="11"/>
  <c r="G15" i="11"/>
  <c r="H15" i="11"/>
  <c r="J15" i="11"/>
  <c r="K15" i="11"/>
  <c r="E15" i="11"/>
  <c r="E14" i="11"/>
  <c r="E13" i="11"/>
  <c r="K18" i="15"/>
  <c r="K19" i="15"/>
  <c r="K20" i="15"/>
  <c r="E20" i="15"/>
  <c r="E19" i="15"/>
  <c r="E18" i="15"/>
  <c r="J12" i="7"/>
  <c r="J11" i="7"/>
  <c r="J10" i="7"/>
  <c r="I12" i="7"/>
  <c r="I11" i="7"/>
  <c r="I10" i="7"/>
  <c r="L13" i="11"/>
  <c r="D35" i="10"/>
  <c r="D37" i="10"/>
  <c r="D36" i="10"/>
  <c r="D34" i="10"/>
  <c r="D39" i="10"/>
  <c r="D40" i="10"/>
  <c r="D42" i="10"/>
  <c r="D43" i="10"/>
  <c r="D45" i="10"/>
  <c r="I11" i="13"/>
  <c r="L25" i="6"/>
  <c r="L26" i="6"/>
  <c r="L24" i="6"/>
  <c r="H3" i="6"/>
  <c r="H4" i="6"/>
  <c r="H5" i="6"/>
  <c r="H6" i="6"/>
  <c r="H7" i="6"/>
  <c r="H8" i="6"/>
  <c r="H9" i="6"/>
  <c r="H10" i="6"/>
  <c r="H11" i="6"/>
  <c r="H12" i="6"/>
  <c r="H13" i="6"/>
  <c r="H14" i="6"/>
  <c r="H15" i="6"/>
  <c r="H16" i="6"/>
  <c r="H17" i="6"/>
  <c r="H18" i="6"/>
  <c r="H19" i="6"/>
  <c r="H20" i="6"/>
  <c r="H21" i="6"/>
  <c r="H22" i="6"/>
  <c r="H23" i="6"/>
  <c r="H25" i="6"/>
  <c r="H24" i="6"/>
  <c r="H26" i="6"/>
  <c r="G26" i="6"/>
  <c r="F26" i="6"/>
  <c r="F24" i="6"/>
  <c r="F25" i="6"/>
  <c r="D8" i="10"/>
  <c r="D13" i="10"/>
  <c r="D12" i="10"/>
  <c r="D11" i="10"/>
  <c r="D10" i="10"/>
  <c r="D9" i="10"/>
  <c r="D6" i="10"/>
  <c r="D5" i="10"/>
  <c r="D4" i="10"/>
  <c r="D3" i="10"/>
  <c r="F14" i="10"/>
  <c r="G25" i="6"/>
  <c r="G24" i="6"/>
  <c r="D33" i="17"/>
  <c r="V6" i="1"/>
  <c r="L18" i="15"/>
  <c r="A15" i="10"/>
  <c r="M20" i="8"/>
  <c r="Q24" i="6"/>
  <c r="K10" i="7"/>
  <c r="M6" i="1"/>
  <c r="O2" i="1"/>
  <c r="O4" i="1"/>
  <c r="O5" i="1"/>
  <c r="O3" i="1"/>
  <c r="N2" i="1"/>
  <c r="N4" i="1"/>
  <c r="N5" i="1"/>
  <c r="N3" i="1"/>
  <c r="M2" i="1"/>
  <c r="M4" i="1"/>
  <c r="M5" i="1"/>
  <c r="M3" i="1"/>
</calcChain>
</file>

<file path=xl/sharedStrings.xml><?xml version="1.0" encoding="utf-8"?>
<sst xmlns="http://schemas.openxmlformats.org/spreadsheetml/2006/main" count="1516" uniqueCount="622">
  <si>
    <t>Elective BOM Option</t>
  </si>
  <si>
    <t>Motor Model</t>
  </si>
  <si>
    <t>Hover Flight Time (minutes)</t>
  </si>
  <si>
    <t>Hover Score</t>
  </si>
  <si>
    <t>Weight (grams)</t>
  </si>
  <si>
    <t>Weight Score</t>
  </si>
  <si>
    <t>Additional Payload (grams)</t>
  </si>
  <si>
    <t>Additional Payload Score</t>
  </si>
  <si>
    <t>Throttle at Hover (%)</t>
  </si>
  <si>
    <t>Throttle At Hover Score</t>
  </si>
  <si>
    <t>Total Score (higher is better)</t>
  </si>
  <si>
    <t>Weighted Total Score Option 1</t>
  </si>
  <si>
    <t>Weighted Total Score Option 2</t>
  </si>
  <si>
    <t>ecalc Link</t>
  </si>
  <si>
    <t>Link</t>
  </si>
  <si>
    <t>3525-650</t>
  </si>
  <si>
    <t>1798</t>
  </si>
  <si>
    <t>4225-610</t>
  </si>
  <si>
    <t>1910</t>
  </si>
  <si>
    <t>3525-850</t>
  </si>
  <si>
    <t>1664</t>
  </si>
  <si>
    <t>3530-1150</t>
  </si>
  <si>
    <t>1756</t>
  </si>
  <si>
    <t>Rank Worst to Best</t>
  </si>
  <si>
    <t>No Weight</t>
  </si>
  <si>
    <t>Weight Option 1</t>
  </si>
  <si>
    <t>Weight Option 2</t>
  </si>
  <si>
    <t>Option</t>
  </si>
  <si>
    <t>Brand</t>
  </si>
  <si>
    <t>Line</t>
  </si>
  <si>
    <t>Model</t>
  </si>
  <si>
    <t>Lipo Cells</t>
  </si>
  <si>
    <t>KV (rpm/v)</t>
  </si>
  <si>
    <t>Max Watts</t>
  </si>
  <si>
    <t>Max Current (Amps)</t>
  </si>
  <si>
    <t>Internal Resistance (ohm)</t>
  </si>
  <si>
    <t>Number of Poles</t>
  </si>
  <si>
    <t>Mass (grams)</t>
  </si>
  <si>
    <t>Recommended ESC (Amp Rating)</t>
  </si>
  <si>
    <t>Price (US$)</t>
  </si>
  <si>
    <t>Turnigy</t>
  </si>
  <si>
    <t>3-4</t>
  </si>
  <si>
    <t>?</t>
  </si>
  <si>
    <t>3</t>
  </si>
  <si>
    <t>ITEM NO.</t>
  </si>
  <si>
    <t>CATEGORY</t>
  </si>
  <si>
    <t>QTY.</t>
  </si>
  <si>
    <t>MASS EACH (g)</t>
  </si>
  <si>
    <t>TOTAL MASS (g)</t>
  </si>
  <si>
    <t>PRICE EACH</t>
  </si>
  <si>
    <t>TOTAL PRICE</t>
  </si>
  <si>
    <t>Frame</t>
  </si>
  <si>
    <t>Electronics</t>
  </si>
  <si>
    <t>Receiver</t>
  </si>
  <si>
    <t>Hardware</t>
  </si>
  <si>
    <t>Accessories</t>
  </si>
  <si>
    <t>Gimbal</t>
  </si>
  <si>
    <t>Camera</t>
  </si>
  <si>
    <t>Propellers</t>
  </si>
  <si>
    <t>TOTALS</t>
  </si>
  <si>
    <t>Motor</t>
  </si>
  <si>
    <t>ESC</t>
  </si>
  <si>
    <t>Battery</t>
  </si>
  <si>
    <t>Recommended Props</t>
  </si>
  <si>
    <t>Prop Score</t>
  </si>
  <si>
    <t>10x4.7 - 11x4.7</t>
  </si>
  <si>
    <t>12x3 - 12x6</t>
  </si>
  <si>
    <t>8x5 - 11x4.7</t>
  </si>
  <si>
    <t>DJI</t>
  </si>
  <si>
    <t>Tiger</t>
  </si>
  <si>
    <t>Antigravity</t>
  </si>
  <si>
    <t>4-8</t>
  </si>
  <si>
    <t># of Motors</t>
  </si>
  <si>
    <t>Frame Mass (g)</t>
  </si>
  <si>
    <t>Between Motor Centers (mm)</t>
  </si>
  <si>
    <t>S800 EVO</t>
  </si>
  <si>
    <t>S1000</t>
  </si>
  <si>
    <t>Spreading Wings</t>
  </si>
  <si>
    <t>Carboncore</t>
  </si>
  <si>
    <t>Aeronavics</t>
  </si>
  <si>
    <t>6</t>
  </si>
  <si>
    <t>8</t>
  </si>
  <si>
    <t xml:space="preserve">X8 Co-Axial </t>
  </si>
  <si>
    <t>Naza-M V2</t>
  </si>
  <si>
    <t>Wookong-M</t>
  </si>
  <si>
    <t>A2</t>
  </si>
  <si>
    <t>3DRobotics</t>
  </si>
  <si>
    <t># of Channels</t>
  </si>
  <si>
    <t>http://www.dji.com/product/naza-m-v2</t>
  </si>
  <si>
    <t>http://www.dji.com/product/wookong-m</t>
  </si>
  <si>
    <t>http://www.dji.com/product/a2</t>
  </si>
  <si>
    <t>Pixhawk</t>
  </si>
  <si>
    <t>APM 2.6 Set</t>
  </si>
  <si>
    <t>GPS included?</t>
  </si>
  <si>
    <t>Y</t>
  </si>
  <si>
    <t>X8 650 Quad</t>
  </si>
  <si>
    <t>X8 950 Quad</t>
  </si>
  <si>
    <t>Material</t>
  </si>
  <si>
    <t>CF</t>
  </si>
  <si>
    <t>Country of Origin</t>
  </si>
  <si>
    <t>China</t>
  </si>
  <si>
    <t>New Zealand</t>
  </si>
  <si>
    <t>Mass (g)</t>
  </si>
  <si>
    <t>LED included?</t>
  </si>
  <si>
    <t>Octocopter</t>
  </si>
  <si>
    <t>Hex 650</t>
  </si>
  <si>
    <t>Hexacopter</t>
  </si>
  <si>
    <t>Cortex</t>
  </si>
  <si>
    <t>Hex 950</t>
  </si>
  <si>
    <t>Between Motor Centers (in)</t>
  </si>
  <si>
    <t>mAh</t>
  </si>
  <si>
    <t>Max Continuous Current (Amps)</t>
  </si>
  <si>
    <t>Program via computer?</t>
  </si>
  <si>
    <t>Multirotor</t>
  </si>
  <si>
    <t>Flight Contoller</t>
  </si>
  <si>
    <t>Stock Frame Fits Gimbal?</t>
  </si>
  <si>
    <t>N</t>
  </si>
  <si>
    <t>Futaba</t>
  </si>
  <si>
    <t>Cannon</t>
  </si>
  <si>
    <t>GoPro</t>
  </si>
  <si>
    <t>Nikon</t>
  </si>
  <si>
    <t>Hero 3+ Black</t>
  </si>
  <si>
    <t>Hero 3+ Silver</t>
  </si>
  <si>
    <t>D300</t>
  </si>
  <si>
    <t>MegaPixals</t>
  </si>
  <si>
    <t>Memory Card</t>
  </si>
  <si>
    <t>Micro SD</t>
  </si>
  <si>
    <t>H3-2D</t>
  </si>
  <si>
    <t>H3-3D</t>
  </si>
  <si>
    <t>Supported Cameras</t>
  </si>
  <si>
    <t>Transmitter</t>
  </si>
  <si>
    <t>Spektrum</t>
  </si>
  <si>
    <t>Price:</t>
  </si>
  <si>
    <t>Mass:</t>
  </si>
  <si>
    <t># of Parts:</t>
  </si>
  <si>
    <t>Gimbal Compatible?</t>
  </si>
  <si>
    <t>GoPro 3/3+</t>
  </si>
  <si>
    <t>Arris</t>
  </si>
  <si>
    <t>CM3000</t>
  </si>
  <si>
    <t># of Axis</t>
  </si>
  <si>
    <t>CM2000 V5.0</t>
  </si>
  <si>
    <t>Tarot</t>
  </si>
  <si>
    <t>2-4</t>
  </si>
  <si>
    <t>T-2D</t>
  </si>
  <si>
    <t>Z15 - 5D</t>
  </si>
  <si>
    <t>Canon 5D Mark III</t>
  </si>
  <si>
    <t>4-12</t>
  </si>
  <si>
    <t>3-6</t>
  </si>
  <si>
    <t>2 - 6</t>
  </si>
  <si>
    <t># of Battery Cells:</t>
  </si>
  <si>
    <t>Options for GPS Accessories</t>
  </si>
  <si>
    <t>Battery Life Span</t>
  </si>
  <si>
    <t>Smartphone/Tablet/Computer Trackable?</t>
  </si>
  <si>
    <t>Subscription Price</t>
  </si>
  <si>
    <t>Price</t>
  </si>
  <si>
    <t>Product Price</t>
  </si>
  <si>
    <t>Line Power</t>
  </si>
  <si>
    <t>Service Plan Required?</t>
  </si>
  <si>
    <t>Spot</t>
  </si>
  <si>
    <t>GPS Tracker</t>
  </si>
  <si>
    <t>Trace</t>
  </si>
  <si>
    <t>Power Source</t>
  </si>
  <si>
    <t>5v USB</t>
  </si>
  <si>
    <t>(4) AAA</t>
  </si>
  <si>
    <t>www.findmespot.com</t>
  </si>
  <si>
    <t>Waterproof?</t>
  </si>
  <si>
    <t>1 year</t>
  </si>
  <si>
    <t>Height (mm)</t>
  </si>
  <si>
    <t>Width (mm)</t>
  </si>
  <si>
    <t>Thickness (mm)</t>
  </si>
  <si>
    <t>SkyJib</t>
  </si>
  <si>
    <t>X4 Ti-QR</t>
  </si>
  <si>
    <t>Retractable Landing Gear Option?</t>
  </si>
  <si>
    <t>Max Propeller Size</t>
  </si>
  <si>
    <t>Airframe</t>
  </si>
  <si>
    <t>XM-6 Ti-QR</t>
  </si>
  <si>
    <t>XM-8 Ti-QR</t>
  </si>
  <si>
    <t>6 Ti-QR</t>
  </si>
  <si>
    <t>8 Ti-QR</t>
  </si>
  <si>
    <t>30 Min @ 1m</t>
  </si>
  <si>
    <t>BrickHouse Security</t>
  </si>
  <si>
    <t>TrackPort</t>
  </si>
  <si>
    <t>OBD-II port</t>
  </si>
  <si>
    <t>Duration</t>
  </si>
  <si>
    <t>per year</t>
  </si>
  <si>
    <t>per month</t>
  </si>
  <si>
    <t>Total Price with 1 year subscription (USD)</t>
  </si>
  <si>
    <t>Photo?</t>
  </si>
  <si>
    <t>Video?</t>
  </si>
  <si>
    <t>SD</t>
  </si>
  <si>
    <t>Feiyu Tech</t>
  </si>
  <si>
    <t>FYDosAutopilot</t>
  </si>
  <si>
    <t>FY41AP GPS &amp; OSD</t>
  </si>
  <si>
    <t>http://gopro.com/cameras/hd-hero3-black-edition</t>
  </si>
  <si>
    <t>http://gopro.com/cameras/hd-hero3-silver-edition</t>
  </si>
  <si>
    <t>Custom Gimbal Available</t>
  </si>
  <si>
    <t>FY680</t>
  </si>
  <si>
    <t>Radio Spectrum</t>
  </si>
  <si>
    <t>2.4GHz</t>
  </si>
  <si>
    <t>Memory Card?</t>
  </si>
  <si>
    <t>Type</t>
  </si>
  <si>
    <t>FASST</t>
  </si>
  <si>
    <t>Mode 2 available?</t>
  </si>
  <si>
    <t>Recommened Receiver</t>
  </si>
  <si>
    <t>R6208SB</t>
  </si>
  <si>
    <t>FASST 2.4GHz</t>
  </si>
  <si>
    <t># of channels</t>
  </si>
  <si>
    <t>Length (mm)</t>
  </si>
  <si>
    <t>http://www.futaba-rc.com/systems/futk8010.html</t>
  </si>
  <si>
    <t>14SG</t>
  </si>
  <si>
    <t>http://www.futaba-rc.com/systems/futk9410-14sg/index.html</t>
  </si>
  <si>
    <t>DX6</t>
  </si>
  <si>
    <t>DX7s</t>
  </si>
  <si>
    <t>DX8</t>
  </si>
  <si>
    <t>DX9</t>
  </si>
  <si>
    <t>AR610</t>
  </si>
  <si>
    <t>AR7610</t>
  </si>
  <si>
    <t>AR8000</t>
  </si>
  <si>
    <t>Scorpion</t>
  </si>
  <si>
    <t>MODEL</t>
  </si>
  <si>
    <t>Continuous Current (A)</t>
  </si>
  <si>
    <t>Burst Current (A)</t>
  </si>
  <si>
    <t>MASS (g)</t>
  </si>
  <si>
    <t>PRICE</t>
  </si>
  <si>
    <t>Diameter (in)</t>
  </si>
  <si>
    <t>Pitch (in/in)</t>
  </si>
  <si>
    <t>PhotoHigher</t>
  </si>
  <si>
    <t>AV130</t>
  </si>
  <si>
    <t>AV200</t>
  </si>
  <si>
    <t>Canon 5D Mark II or 7D</t>
  </si>
  <si>
    <t>GH2</t>
  </si>
  <si>
    <t>M680</t>
  </si>
  <si>
    <t>M1050</t>
  </si>
  <si>
    <t>IRON MAN 1000</t>
  </si>
  <si>
    <t>TL960A</t>
  </si>
  <si>
    <t>Payload Limit (KG)</t>
  </si>
  <si>
    <t>T15</t>
  </si>
  <si>
    <t>M1000</t>
  </si>
  <si>
    <t>FY690S</t>
  </si>
  <si>
    <t>TL810A</t>
  </si>
  <si>
    <t>Foldable?</t>
  </si>
  <si>
    <t>Minimums:</t>
  </si>
  <si>
    <t>Plush 40</t>
  </si>
  <si>
    <t>Plush 30</t>
  </si>
  <si>
    <t>www.dji.com</t>
  </si>
  <si>
    <t>www.aeronavics.com</t>
  </si>
  <si>
    <t>www.coptersquad.com</t>
  </si>
  <si>
    <t>www.rc-drones.com</t>
  </si>
  <si>
    <t>www.hobby-wing.com</t>
  </si>
  <si>
    <t>United Kingdom</t>
  </si>
  <si>
    <t>www.myrcmodel.com</t>
  </si>
  <si>
    <t>www.shop.carboncore.co.uk</t>
  </si>
  <si>
    <t>6 total</t>
  </si>
  <si>
    <t>11 total</t>
  </si>
  <si>
    <t>8 total</t>
  </si>
  <si>
    <t>Maximums:</t>
  </si>
  <si>
    <t>Averages:</t>
  </si>
  <si>
    <t>M-40 Series</t>
  </si>
  <si>
    <t>Stator Diameter (mm)</t>
  </si>
  <si>
    <t>Body Length</t>
  </si>
  <si>
    <t>No Load Current (Amps) @10v</t>
  </si>
  <si>
    <t>www.photohigher.co.nz</t>
  </si>
  <si>
    <t>Shaft Length (mm)</t>
  </si>
  <si>
    <t>Shaft Diameter (mm)</t>
  </si>
  <si>
    <t>3-8</t>
  </si>
  <si>
    <t>HKIII</t>
  </si>
  <si>
    <t>SII</t>
  </si>
  <si>
    <t>Professional</t>
  </si>
  <si>
    <t>T-Motor</t>
  </si>
  <si>
    <t>Power</t>
  </si>
  <si>
    <t>U5-400</t>
  </si>
  <si>
    <t>U7-420</t>
  </si>
  <si>
    <t>U7-490</t>
  </si>
  <si>
    <t>MT4006-740</t>
  </si>
  <si>
    <t>MN3510-360</t>
  </si>
  <si>
    <t>MN3510-630</t>
  </si>
  <si>
    <t>MN3510-700</t>
  </si>
  <si>
    <t>MN3515-400</t>
  </si>
  <si>
    <t>MN3520-400</t>
  </si>
  <si>
    <t>MN4010-370</t>
  </si>
  <si>
    <t>MN4010-475</t>
  </si>
  <si>
    <t>MN4010-580</t>
  </si>
  <si>
    <t>MN4012-340</t>
  </si>
  <si>
    <t>MN4012-400</t>
  </si>
  <si>
    <t>MN4012-480</t>
  </si>
  <si>
    <t>MN4014-330</t>
  </si>
  <si>
    <t>MN4014-400</t>
  </si>
  <si>
    <t>MN4120-400</t>
  </si>
  <si>
    <t>MN4120-465</t>
  </si>
  <si>
    <t>DSM2/DSMX</t>
  </si>
  <si>
    <t>http://www.spektrumrc.com/Products/Default.aspx?ProdId=SPMR9900</t>
  </si>
  <si>
    <t>http://www.spektrumrc.com/Products/Default.aspx?ProdId=SPMR8810</t>
  </si>
  <si>
    <t>http://www.spektrumrc.com/Products/Default.aspx?ProdId=SPM7800</t>
  </si>
  <si>
    <t>http://www.spektrumrc.com/Products/Default.aspx?ProdId=SPM6700</t>
  </si>
  <si>
    <t>LCD Screen?</t>
  </si>
  <si>
    <t>HKIII4035-330</t>
  </si>
  <si>
    <t>HKIII4035-450</t>
  </si>
  <si>
    <t>HKIII4035-500</t>
  </si>
  <si>
    <t>HKIII4035-530</t>
  </si>
  <si>
    <t>HKIII4035-560</t>
  </si>
  <si>
    <t>M4015-340</t>
  </si>
  <si>
    <t>M4010-360</t>
  </si>
  <si>
    <t>SII4020-420</t>
  </si>
  <si>
    <t>SII4020-540</t>
  </si>
  <si>
    <t>SII4020-630</t>
  </si>
  <si>
    <t>SII4025-330</t>
  </si>
  <si>
    <t>SII4025-440</t>
  </si>
  <si>
    <t>SII4025-520</t>
  </si>
  <si>
    <t>SII4035-250</t>
  </si>
  <si>
    <t>SII4035-330</t>
  </si>
  <si>
    <t>SII4035-380</t>
  </si>
  <si>
    <t>AG4014-330</t>
  </si>
  <si>
    <t>High Price</t>
  </si>
  <si>
    <t>JR</t>
  </si>
  <si>
    <t>XG6</t>
  </si>
  <si>
    <t>XG8</t>
  </si>
  <si>
    <t>XG11</t>
  </si>
  <si>
    <t>XG14</t>
  </si>
  <si>
    <t>http://www.jramericas.com/233795/JRP00632/?pcat=2</t>
  </si>
  <si>
    <t>http://www.jramericas.com/211277/JRP00615/?pcat=2</t>
  </si>
  <si>
    <t>http://www.jramericas.com/211276/JRP00596/?pcat=2</t>
  </si>
  <si>
    <t>http://www.jramericas.com/211278/JRP00619/?pcat=2</t>
  </si>
  <si>
    <t>DMSS</t>
  </si>
  <si>
    <t>6EX</t>
  </si>
  <si>
    <t>7C</t>
  </si>
  <si>
    <t>10CG</t>
  </si>
  <si>
    <t>None</t>
  </si>
  <si>
    <t>http://www.futaba-rc.com/systems/futk6900.html</t>
  </si>
  <si>
    <t>http://www.futaba-rc.com/systems/futk7000.html</t>
  </si>
  <si>
    <t>http://www.futaba-rc.com/systems/futk9255.html</t>
  </si>
  <si>
    <t>R6014HS</t>
  </si>
  <si>
    <t>R617FS</t>
  </si>
  <si>
    <t>microSD</t>
  </si>
  <si>
    <t>RG631B</t>
  </si>
  <si>
    <t>RG731B</t>
  </si>
  <si>
    <t>RG1131B</t>
  </si>
  <si>
    <t>Operating Voltage</t>
  </si>
  <si>
    <t>4.8-6</t>
  </si>
  <si>
    <t>3.7-7.4</t>
  </si>
  <si>
    <t>DSMX 2.4 GHz</t>
  </si>
  <si>
    <t>3.5-9.6</t>
  </si>
  <si>
    <t>DMSS 2.4GHz</t>
  </si>
  <si>
    <t>4.8-8.5</t>
  </si>
  <si>
    <t>4.5-8.5</t>
  </si>
  <si>
    <t>Plush 25</t>
  </si>
  <si>
    <t>Plush 60</t>
  </si>
  <si>
    <t>35</t>
  </si>
  <si>
    <t>http://www.hobbyking.com/hobbyking/store/uh_viewitem.asp?idproduct=2163&amp;aff=586251</t>
  </si>
  <si>
    <t>http://www.hobbyking.com/hobbyking/store/uh_viewitem.asp?idproduct=2164&amp;aff=586251</t>
  </si>
  <si>
    <t>2-6</t>
  </si>
  <si>
    <t>http://www.hobbyking.com/hobbyking/store/uh_viewitem.asp?idproduct=2165&amp;aff=586251</t>
  </si>
  <si>
    <t>http://www.hobbyking.com/hobbyking/store/uh_viewitem.asp?idproduct=2166&amp;aff=586251</t>
  </si>
  <si>
    <t>Z15</t>
  </si>
  <si>
    <t>Black Magic</t>
  </si>
  <si>
    <t>Panasonic</t>
  </si>
  <si>
    <t>GH3</t>
  </si>
  <si>
    <t>bhphotovideo.com</t>
  </si>
  <si>
    <t>1080 @ 60fps</t>
  </si>
  <si>
    <t>1080 @ 30fps</t>
  </si>
  <si>
    <t>at?</t>
  </si>
  <si>
    <t xml:space="preserve"># OF TOTAL POSSIBLE COMBINATIONS: </t>
  </si>
  <si>
    <t>https://store.3drobotics.com</t>
  </si>
  <si>
    <t>http://www.coptersquad.com</t>
  </si>
  <si>
    <t>www.gpdealera.com</t>
  </si>
  <si>
    <t>www.horizonhobby.com</t>
  </si>
  <si>
    <t>www.spektrumrc.com</t>
  </si>
  <si>
    <t>Cameras</t>
  </si>
  <si>
    <t>Receivers</t>
  </si>
  <si>
    <t>Transmitters</t>
  </si>
  <si>
    <t>Flight Controllers</t>
  </si>
  <si>
    <t>Multirotor Frames</t>
  </si>
  <si>
    <t>Gimbals</t>
  </si>
  <si>
    <t>Electronic Speed Controllers (ESC)</t>
  </si>
  <si>
    <t>Batteries</t>
  </si>
  <si>
    <t>Min:</t>
  </si>
  <si>
    <t>Max:</t>
  </si>
  <si>
    <t>Avg:</t>
  </si>
  <si>
    <t>MIN:</t>
  </si>
  <si>
    <t>MAX:</t>
  </si>
  <si>
    <t>AVG:</t>
  </si>
  <si>
    <t>www.rctigermotor.com</t>
  </si>
  <si>
    <t>U3-700</t>
  </si>
  <si>
    <t>www.scorpionsystem.com</t>
  </si>
  <si>
    <t>Pocket Cinema Cam</t>
  </si>
  <si>
    <t>N/A</t>
  </si>
  <si>
    <t>www.usa.canon.com</t>
  </si>
  <si>
    <t>D800</t>
  </si>
  <si>
    <t>www.nikonusa.com</t>
  </si>
  <si>
    <t>Hobbywing</t>
  </si>
  <si>
    <t>method</t>
  </si>
  <si>
    <t>OPTO</t>
  </si>
  <si>
    <t>Platinum 30</t>
  </si>
  <si>
    <t>http://www.hobby-wing.com/hobby-wing-platinum-30a-pro.html</t>
  </si>
  <si>
    <t>FlyFun 30</t>
  </si>
  <si>
    <t>FlyFun 40</t>
  </si>
  <si>
    <t>BEC</t>
  </si>
  <si>
    <t>Maytech</t>
  </si>
  <si>
    <t>MT 30</t>
  </si>
  <si>
    <t>MT 35</t>
  </si>
  <si>
    <t>MT 40</t>
  </si>
  <si>
    <t>MT 60</t>
  </si>
  <si>
    <t>http://www.rc-drones.com/Maytech-MT30A-ESC.php</t>
  </si>
  <si>
    <t>http://www.rc-drones.com/Maytech-MT35A-esc.php</t>
  </si>
  <si>
    <t>http://www.rc-drones.com/rcd-mt40a-opto-v1-esc.php</t>
  </si>
  <si>
    <t>http://www.rc-drones.com/rcd-mt60a-opto-v1-esc.php</t>
  </si>
  <si>
    <t>T 30</t>
  </si>
  <si>
    <t>T 30 Pro</t>
  </si>
  <si>
    <t>T 40</t>
  </si>
  <si>
    <t>T 40 Pro</t>
  </si>
  <si>
    <t>T 60</t>
  </si>
  <si>
    <t>http://www.rctigermotor.com/html/2013/esc_0916/83.html</t>
  </si>
  <si>
    <t>http://www.rctigermotor.com/html/2013/esc_0916/87.html</t>
  </si>
  <si>
    <t>http://www.rctigermotor.com/html/2013/esc_0916/84.html</t>
  </si>
  <si>
    <t>http://www.rctigermotor.com/html/2013/esc_0916/88.html</t>
  </si>
  <si>
    <t>http://www.rctigermotor.com/html/2013/esc_0916/85.html</t>
  </si>
  <si>
    <t>NO-BEC</t>
  </si>
  <si>
    <t>BEC Linear</t>
  </si>
  <si>
    <t>BEC Switching</t>
  </si>
  <si>
    <t>Super Brain 80</t>
  </si>
  <si>
    <t>Super Brain 60</t>
  </si>
  <si>
    <t>Super Brain 45</t>
  </si>
  <si>
    <t>http://www.hobbyking.com/hobbyking/store/__24889__Turnigy_Super_Brain_45A_6s_Brushless_ESC.html</t>
  </si>
  <si>
    <t>http://www.hobbyking.com/hobbyking/store/__10943__Turnigy_Super_Brain_80A_Brushless_ESC.html</t>
  </si>
  <si>
    <t>http://www.hobbyking.com/hobbyking/store/__10942__Turnigy_Super_Brain_60A_Brushless_ESC.html</t>
  </si>
  <si>
    <t>Multistar 20</t>
  </si>
  <si>
    <t>Multistar 30</t>
  </si>
  <si>
    <t>Multistar 45</t>
  </si>
  <si>
    <t>Multistar 60</t>
  </si>
  <si>
    <t>http://www.hobbyking.com/hobbyking/store/__25364__Turnigy_Multistar_20_Amp_Multi_rotor_Brushless_ESC_2_4S.html</t>
  </si>
  <si>
    <t>http://www.hobbyking.com/hobbyking/store/__27776__Turnigy_Multistar_30_Amp_Multi_rotor_Brushless_ESC_2_4S_OPTO_.html</t>
  </si>
  <si>
    <t>http://www.hobbyking.com/hobbyking/store/__27777__Turnigy_Multistar_45_Amp_Multi_rotor_Brushless_ESC_2_6S_OPTO_.html</t>
  </si>
  <si>
    <t>http://www.hobbyking.com/hobbyking/store/__45503__Turnigy_Multistar_60_Amp_Multi_rotor_Brushless_ESC_2_6S_OPTO_.html</t>
  </si>
  <si>
    <t>http://www.hobby-wing.com</t>
  </si>
  <si>
    <t>Less what I already own:</t>
  </si>
  <si>
    <t>DROP DOWNS:</t>
  </si>
  <si>
    <t>BRAND</t>
  </si>
  <si>
    <t>Hyperion</t>
  </si>
  <si>
    <t>http://rc-drones.com/hyp-G3-5000-4s.php</t>
  </si>
  <si>
    <t>Voltage</t>
  </si>
  <si>
    <t>Peak Current</t>
  </si>
  <si>
    <t>http://rc-drones.com/hyp-g3-vx5400-4s.php</t>
  </si>
  <si>
    <t>http://www.rc-drones.com/hyp-G3-VX-5000mAh-6S-35C.php</t>
  </si>
  <si>
    <t>http://www.rc-drones.com/hyp-g36s-5400.php</t>
  </si>
  <si>
    <t>http://www.hobbyking.com/hobbyking/store/__19156__Turnigy_nano_tech_5000mah_6S_65_130C_Lipo_Pack.html</t>
  </si>
  <si>
    <t>http://www.hobbyking.com/hobbyking/store/__19155__Turnigy_nano_tech_5000mah_5S_65_130C_Lipo_Pack.html</t>
  </si>
  <si>
    <t>http://www.hobbyking.com/hobbyking/store/__45145__Turnigy_nano_tech_A_SPEC_G2_5000mah_6S_65_130C_Lipo_Pack.html</t>
  </si>
  <si>
    <t>http://www.hobbyking.com/hobbyking/store/__45143__Turnigy_nano_tech_A_SPEC_G2_5000mah_4S_65_130C_Lipo_Pack.html</t>
  </si>
  <si>
    <t>ADC</t>
  </si>
  <si>
    <t>5000mAh 6S 40C</t>
  </si>
  <si>
    <t>http://www.hobby-wing.com/roc-6s-22v-5000mah-40c-battery.html</t>
  </si>
  <si>
    <t>10,000mAh 6S 25C</t>
  </si>
  <si>
    <t>http://www.hobby-wing.com/roc-6s-10000mah-25c-polymer-lithium-lipo-battery.html</t>
  </si>
  <si>
    <t>E-flite</t>
  </si>
  <si>
    <t>5000mAh 6S 50C</t>
  </si>
  <si>
    <t>http://www.horizonhobby.com/products/5000mah-6s-22-2v-50c-lipo-10awg-ec5-EFLB50006S50#t2</t>
  </si>
  <si>
    <t>5000mAh 6S 30C</t>
  </si>
  <si>
    <t>http://www.horizonhobby.com/products/5000mah-6s-22-2v-30c-lipo-10awg-ec5-EFLB50006S30#t2</t>
  </si>
  <si>
    <t>http://www.horizonhobby.com/products/5000mah-5s-18-5v-30c-lipo-10awg-ec5-EFLB50005S30</t>
  </si>
  <si>
    <t>5000mAh 5S 30C</t>
  </si>
  <si>
    <t>ThunderPower</t>
  </si>
  <si>
    <t>5000mAh 6S 70C</t>
  </si>
  <si>
    <t>http://www.horizonhobby.com/products/5000mah-6s-22-2v-g8-pro-force-70c-lipo-THP50006SPF70#t2</t>
  </si>
  <si>
    <t>Folding?</t>
  </si>
  <si>
    <t>RC Tiger</t>
  </si>
  <si>
    <t>15x5</t>
  </si>
  <si>
    <t>QTY</t>
  </si>
  <si>
    <t>http://www.rc-drones.com/RcTiger15CF-props.php</t>
  </si>
  <si>
    <t>GemFan</t>
  </si>
  <si>
    <t>Paddle Style</t>
  </si>
  <si>
    <t>15.5x5.5</t>
  </si>
  <si>
    <t>http://www.rc-drones.com/gemfan-paddlestyle-15Prop.php</t>
  </si>
  <si>
    <t>http://www.rc-drones.com/Maytech-MTCP1455T-14prop.php</t>
  </si>
  <si>
    <t>14x5.5</t>
  </si>
  <si>
    <t>MTCP1455T</t>
  </si>
  <si>
    <t>Gemfan</t>
  </si>
  <si>
    <t>15x5.5</t>
  </si>
  <si>
    <t>http://www.rc-drones.com/gemfan-rcd15x5.php</t>
  </si>
  <si>
    <t>Graupner</t>
  </si>
  <si>
    <t>E-Prop</t>
  </si>
  <si>
    <t>14x8</t>
  </si>
  <si>
    <t>http://www.rc-drones.com/Graupner-Eprop-14Left.php</t>
  </si>
  <si>
    <t>Hobby</t>
  </si>
  <si>
    <t>14x7</t>
  </si>
  <si>
    <t>http://www.rc-drones.com/gemfan-137.php</t>
  </si>
  <si>
    <t>DJI S800 Style</t>
  </si>
  <si>
    <t>http://www.rc-drones.com/gemfan-S800-Prop.php</t>
  </si>
  <si>
    <t>Scoop Style</t>
  </si>
  <si>
    <t>15x7.5</t>
  </si>
  <si>
    <t>http://www.rc-drones.com/gemfan-djiscoop-15Prop.php</t>
  </si>
  <si>
    <t>http://www.rc-drones.com/Maytech-MTCP1355T-13prop.php</t>
  </si>
  <si>
    <t>13x5.5</t>
  </si>
  <si>
    <t>MTCP1355T</t>
  </si>
  <si>
    <t>MTCP1155T</t>
  </si>
  <si>
    <t>11x5.5</t>
  </si>
  <si>
    <t>http://www.rc-drones.com/Maytech-MTCP1155T-11prop.php</t>
  </si>
  <si>
    <t>APC</t>
  </si>
  <si>
    <t>APC Prop</t>
  </si>
  <si>
    <t>12x4.5</t>
  </si>
  <si>
    <t>P</t>
  </si>
  <si>
    <t>http://www.rc-drones.com/APC-12x4-5-Left-Propeller.php</t>
  </si>
  <si>
    <t>MTCP1255T</t>
  </si>
  <si>
    <t>12x5.5</t>
  </si>
  <si>
    <t>http://www.rc-drones.com/Maytech-MTCP1255T-12prop.php</t>
  </si>
  <si>
    <t>11x5</t>
  </si>
  <si>
    <t>http://www.rc-drones.com/Graupner-Eprop-11right.php</t>
  </si>
  <si>
    <t>CF Folding Prop</t>
  </si>
  <si>
    <t>http://www.rc-drones.com/gemfamFoldingCW-S800props.php</t>
  </si>
  <si>
    <t>DJI Folding</t>
  </si>
  <si>
    <t>15x5.2</t>
  </si>
  <si>
    <t>http://www.hobby-wing.com/1552-folding-cf-propeller.html</t>
  </si>
  <si>
    <t>http://www.hobby-wing.com/dji-1552-folding-propeller.html</t>
  </si>
  <si>
    <t>High Performance</t>
  </si>
  <si>
    <t>CF Prop</t>
  </si>
  <si>
    <t>http://www.hobby-wing.com/t-motor-1555-cf-propeller.html</t>
  </si>
  <si>
    <t>16x5.5</t>
  </si>
  <si>
    <t>http://www.hobby-wing.com/t-motor-1655-cf-propeller.html</t>
  </si>
  <si>
    <t>HE CF Prop</t>
  </si>
  <si>
    <t>http://www.hobby-wing.com/tarot-1555-propeller-tl2812.html</t>
  </si>
  <si>
    <t>http://www.hobby-wing.com/tarot--tl2828-1255-propeller.html</t>
  </si>
  <si>
    <t>http://www.hobby-wing.com/tarot-1355-propeller-tl2829.html</t>
  </si>
  <si>
    <t>http://www.hobby-wing.com/tarot-1655-propeller-tl2835.html</t>
  </si>
  <si>
    <t>17x5.5</t>
  </si>
  <si>
    <t>http://www.hobby-wing.com/tl2815.html</t>
  </si>
  <si>
    <t>Sigma</t>
  </si>
  <si>
    <t>Multicopter</t>
  </si>
  <si>
    <t>http://www.hobby-wing.com/1550-carbon-fiber-propeller.html</t>
  </si>
  <si>
    <t>http://www.hobby-wing.com/1755-carbon-fiber-propeller.html</t>
  </si>
  <si>
    <t>12x3.8</t>
  </si>
  <si>
    <t>http://www.hobby-wing.com/sigma-1238-carbon-fiber-propeller.html</t>
  </si>
  <si>
    <t>13x4.0</t>
  </si>
  <si>
    <t>15x4.0</t>
  </si>
  <si>
    <t>http://www.hobby-wing.com/p1540c-carbon-fiber-propeller.html</t>
  </si>
  <si>
    <t>OPTIONS</t>
  </si>
  <si>
    <t>A-SPEC 5000mAh 4S 65C</t>
  </si>
  <si>
    <t>A-SPEC 5000mAh 6S 65C</t>
  </si>
  <si>
    <t>A-SPEC G2 5000mAh 6S 65C</t>
  </si>
  <si>
    <t>nano-tech 5000mAh 4S 65C</t>
  </si>
  <si>
    <t>nano-tech 5000mAh 5S 65C</t>
  </si>
  <si>
    <t>nano-tech 5000mAh 6S 65C</t>
  </si>
  <si>
    <t>G3 4S  5000 35C</t>
  </si>
  <si>
    <t>G3 4S 5400 35C</t>
  </si>
  <si>
    <t>G3 6S 5000 35C</t>
  </si>
  <si>
    <t>G3 6S 5400 35C</t>
  </si>
  <si>
    <t>Small Size</t>
  </si>
  <si>
    <t>Round 1:</t>
  </si>
  <si>
    <t>Selected (Already Own)</t>
  </si>
  <si>
    <t>&gt; 300g</t>
  </si>
  <si>
    <t>4/5/14 11:15AM</t>
  </si>
  <si>
    <t>% reduction</t>
  </si>
  <si>
    <t>Round 1</t>
  </si>
  <si>
    <t>Round 2</t>
  </si>
  <si>
    <t>&gt;$150</t>
  </si>
  <si>
    <t>&lt; 5 LiPo Cells</t>
  </si>
  <si>
    <t>Incompatible with GoPro</t>
  </si>
  <si>
    <t>Already Own</t>
  </si>
  <si>
    <t>Recommended for my Tx</t>
  </si>
  <si>
    <t>COMPONENT</t>
  </si>
  <si>
    <t>Round 3</t>
  </si>
  <si>
    <t>Date</t>
  </si>
  <si>
    <t>Account Balance</t>
  </si>
  <si>
    <t>Disbursable Balance</t>
  </si>
  <si>
    <t>T8FG Super</t>
  </si>
  <si>
    <t>$/mAh</t>
  </si>
  <si>
    <t>mAh/g</t>
  </si>
  <si>
    <t>Round 1 (4 items)</t>
  </si>
  <si>
    <t>Round 2:</t>
  </si>
  <si>
    <t>8 Motors</t>
  </si>
  <si>
    <t>Not Foldable</t>
  </si>
  <si>
    <t xml:space="preserve">Unfamiliar </t>
  </si>
  <si>
    <t>H3-3D is better</t>
  </si>
  <si>
    <t>Low Price</t>
  </si>
  <si>
    <t>4/7/14 8:51PM</t>
  </si>
  <si>
    <t>Skipped</t>
  </si>
  <si>
    <t>&gt; $0.03 per mAh</t>
  </si>
  <si>
    <t>Elimination</t>
  </si>
  <si>
    <t>ESC &gt; 50</t>
  </si>
  <si>
    <t>12 &lt;= Prop &lt;= 16</t>
  </si>
  <si>
    <t>Weak Material</t>
  </si>
  <si>
    <t>PC</t>
  </si>
  <si>
    <t>Round 2 (0 items)</t>
  </si>
  <si>
    <t>Round 3:</t>
  </si>
  <si>
    <t xml:space="preserve">Selected </t>
  </si>
  <si>
    <t>Too Heavy</t>
  </si>
  <si>
    <t>Payload &lt; 3.5</t>
  </si>
  <si>
    <t>Selected</t>
  </si>
  <si>
    <t>Round 3 (3 Items)</t>
  </si>
  <si>
    <t>Pixhawk is newer</t>
  </si>
  <si>
    <t>Want to try competitor</t>
  </si>
  <si>
    <t>Trust DJI Gimbal over Arris</t>
  </si>
  <si>
    <t>All Motors &lt; 50A</t>
  </si>
  <si>
    <t>Round 4 (? Items)</t>
  </si>
  <si>
    <t>Component Selected During:</t>
  </si>
  <si>
    <t>Undo &lt; 5 LiPo</t>
  </si>
  <si>
    <t>500 &lt;= Max Watts &lt;= 850</t>
  </si>
  <si>
    <t>Simon K Firmware?</t>
  </si>
  <si>
    <t>Not Turnigy</t>
  </si>
  <si>
    <t>&lt; 7 mAh/g</t>
  </si>
  <si>
    <t>$/Prop</t>
  </si>
  <si>
    <t>LINK</t>
  </si>
  <si>
    <t>http://www.hobbyking.com</t>
  </si>
  <si>
    <t>Round 4</t>
  </si>
  <si>
    <t>Round 0:</t>
  </si>
  <si>
    <t>This Round</t>
  </si>
  <si>
    <t>5D Mark III with 24mm f/2.8</t>
  </si>
  <si>
    <t>not strong enough</t>
  </si>
  <si>
    <t>14.8v 13inX4.4in (1120g @ 65%throttle)</t>
  </si>
  <si>
    <t>14.8v 16inX5.4in (1060g @ 65%throttle)</t>
  </si>
  <si>
    <t>22.2v 13inX4.4in (1070g @ 65%throttle)</t>
  </si>
  <si>
    <t>14.8v 14inX4.8in (1000g @ 65%throttle)</t>
  </si>
  <si>
    <t>14.8v 15inX5in (1190g @ 65%throttle)</t>
  </si>
  <si>
    <t>22.2v 15inX5in (1110g @ 65%throttle)</t>
  </si>
  <si>
    <t>22.2v 14inX4.8in (1150g @ 65%throttle)</t>
  </si>
  <si>
    <t>22.2v 15inX5in (1150g @ 65%throttle)</t>
  </si>
  <si>
    <t>22.2v 14inX4.8in (1200g @ 65%throttle)</t>
  </si>
  <si>
    <t>14.8v 15inX5.5in (1125g @ 7.7 Amps)</t>
  </si>
  <si>
    <t>22.2v 12inX5.5in (1225g @ 8.1 Amps)</t>
  </si>
  <si>
    <t>14.8v 14inX5.5in (1000g @ 7.96 Amps)</t>
  </si>
  <si>
    <t>22.2v 12inX5.5in (1250g @ 8.56 Amps)</t>
  </si>
  <si>
    <t>Round 4:</t>
  </si>
  <si>
    <t>Too weak</t>
  </si>
  <si>
    <t>Comments</t>
  </si>
  <si>
    <t>Too Powerful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</si>
</sst>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9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0.000"/>
    <numFmt numFmtId="165" formatCode="0.0"/>
    <numFmt numFmtId="166" formatCode="&quot;$&quot;#,##0.00"/>
    <numFmt numFmtId="167" formatCode="&quot;$&quot;#,##0"/>
    <numFmt numFmtId="168" formatCode="_(* #,##0_);_(* \(#,##0\);_(* &quot;-&quot;??_);_(@_)"/>
    <numFmt numFmtId="169" formatCode="_(* #,##0.000_);_(* \(#,##0.000\);_(* &quot;-&quot;??_);_(@_)"/>
    <numFmt numFmtId="170" formatCode="_(&quot;$&quot;* #,##0.000_);_(&quot;$&quot;* \(#,##0.000\);_(&quot;$&quot;* &quot;-&quot;??_);_(@_)"/>
  </numFmts>
  <fonts count="18" x14ac:knownFonts="1">
    <font>
      <sz val="12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rgb="FF000000"/>
      <name val="Calibri"/>
      <family val="2"/>
      <scheme val="minor"/>
    </font>
    <font>
      <u/>
      <sz val="12"/>
      <color theme="10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u/>
      <sz val="12"/>
      <color theme="10"/>
      <name val="Calibri"/>
      <family val="2"/>
      <scheme val="minor"/>
    </font>
    <font>
      <b/>
      <sz val="12"/>
      <color rgb="FF000000"/>
      <name val="Calibri"/>
      <family val="2"/>
      <scheme val="minor"/>
    </font>
    <font>
      <sz val="12"/>
      <color theme="0"/>
      <name val="Calibri"/>
      <family val="2"/>
      <scheme val="minor"/>
    </font>
    <font>
      <u/>
      <sz val="12"/>
      <color theme="11"/>
      <name val="Calibri"/>
      <family val="2"/>
      <scheme val="minor"/>
    </font>
    <font>
      <sz val="8"/>
      <name val="Calibri"/>
      <family val="2"/>
      <scheme val="minor"/>
    </font>
    <font>
      <sz val="12"/>
      <color theme="1"/>
      <name val="Calibri"/>
      <family val="2"/>
      <scheme val="minor"/>
    </font>
    <font>
      <sz val="10"/>
      <color theme="0"/>
      <name val="Gill Sans MT"/>
      <family val="2"/>
    </font>
    <font>
      <sz val="10"/>
      <color theme="1"/>
      <name val="Calibri"/>
      <family val="2"/>
      <scheme val="minor"/>
    </font>
    <font>
      <sz val="10"/>
      <color theme="1"/>
      <name val="Gill Sans MT"/>
      <family val="2"/>
    </font>
    <font>
      <sz val="10"/>
      <name val="Gill Sans MT"/>
      <family val="2"/>
    </font>
    <font>
      <sz val="8"/>
      <color theme="0"/>
      <name val="Gill Sans MT"/>
      <family val="2"/>
    </font>
    <font>
      <sz val="12"/>
      <name val="Calibri"/>
      <family val="2"/>
      <scheme val="minor"/>
    </font>
    <font>
      <sz val="12"/>
      <color theme="9" tint="0.39997558519241921"/>
      <name val="Calibri"/>
      <scheme val="minor"/>
    </font>
  </fonts>
  <fills count="23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rgb="FFBFBFBF"/>
        <bgColor rgb="FF000000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FF6FCF"/>
        <bgColor indexed="64"/>
      </patternFill>
    </fill>
    <fill>
      <patternFill patternType="solid">
        <fgColor rgb="FF3366FF"/>
        <bgColor indexed="64"/>
      </patternFill>
    </fill>
    <fill>
      <patternFill patternType="solid">
        <fgColor rgb="FF660066"/>
        <bgColor indexed="64"/>
      </patternFill>
    </fill>
    <fill>
      <patternFill patternType="solid">
        <fgColor rgb="FF008000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FF00FF"/>
        <bgColor indexed="64"/>
      </patternFill>
    </fill>
  </fills>
  <borders count="7">
    <border>
      <left/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</borders>
  <cellStyleXfs count="25">
    <xf numFmtId="0" fontId="0" fillId="0" borderId="0"/>
    <xf numFmtId="0" fontId="3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43" fontId="10" fillId="0" borderId="0" applyFont="0" applyFill="0" applyBorder="0" applyAlignment="0" applyProtection="0"/>
    <xf numFmtId="0" fontId="8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8" fillId="0" borderId="0" applyNumberFormat="0" applyFill="0" applyBorder="0" applyAlignment="0" applyProtection="0"/>
  </cellStyleXfs>
  <cellXfs count="398">
    <xf numFmtId="0" fontId="0" fillId="0" borderId="0" xfId="0"/>
    <xf numFmtId="0" fontId="1" fillId="2" borderId="1" xfId="0" applyFont="1" applyFill="1" applyBorder="1" applyAlignment="1">
      <alignment horizontal="center" textRotation="45" readingOrder="1"/>
    </xf>
    <xf numFmtId="0" fontId="1" fillId="2" borderId="2" xfId="0" applyFont="1" applyFill="1" applyBorder="1" applyAlignment="1">
      <alignment horizontal="center" textRotation="45" readingOrder="1"/>
    </xf>
    <xf numFmtId="164" fontId="1" fillId="2" borderId="2" xfId="0" applyNumberFormat="1" applyFont="1" applyFill="1" applyBorder="1" applyAlignment="1">
      <alignment horizontal="center" textRotation="45" readingOrder="1"/>
    </xf>
    <xf numFmtId="164" fontId="1" fillId="2" borderId="1" xfId="0" applyNumberFormat="1" applyFont="1" applyFill="1" applyBorder="1" applyAlignment="1">
      <alignment horizontal="center" textRotation="45" readingOrder="1"/>
    </xf>
    <xf numFmtId="0" fontId="0" fillId="0" borderId="3" xfId="0" applyBorder="1" applyAlignment="1">
      <alignment horizontal="center"/>
    </xf>
    <xf numFmtId="0" fontId="2" fillId="0" borderId="3" xfId="0" applyFont="1" applyBorder="1" applyAlignment="1">
      <alignment horizontal="center" vertical="center" wrapText="1"/>
    </xf>
    <xf numFmtId="0" fontId="0" fillId="3" borderId="3" xfId="0" applyNumberFormat="1" applyFont="1" applyFill="1" applyBorder="1" applyAlignment="1">
      <alignment horizontal="center" vertical="center"/>
    </xf>
    <xf numFmtId="1" fontId="0" fillId="4" borderId="3" xfId="0" applyNumberFormat="1" applyFont="1" applyFill="1" applyBorder="1" applyAlignment="1">
      <alignment horizontal="center" vertical="center" readingOrder="1"/>
    </xf>
    <xf numFmtId="1" fontId="0" fillId="5" borderId="3" xfId="0" applyNumberFormat="1" applyFont="1" applyFill="1" applyBorder="1" applyAlignment="1">
      <alignment horizontal="center" vertical="center" readingOrder="1"/>
    </xf>
    <xf numFmtId="1" fontId="0" fillId="0" borderId="3" xfId="0" applyNumberFormat="1" applyBorder="1"/>
    <xf numFmtId="2" fontId="0" fillId="4" borderId="3" xfId="0" applyNumberFormat="1" applyFont="1" applyFill="1" applyBorder="1" applyAlignment="1">
      <alignment horizontal="center" vertical="center"/>
    </xf>
    <xf numFmtId="1" fontId="0" fillId="4" borderId="3" xfId="0" applyNumberFormat="1" applyFill="1" applyBorder="1" applyAlignment="1">
      <alignment horizontal="center"/>
    </xf>
    <xf numFmtId="1" fontId="0" fillId="5" borderId="3" xfId="0" applyNumberFormat="1" applyFill="1" applyBorder="1" applyAlignment="1">
      <alignment horizontal="center"/>
    </xf>
    <xf numFmtId="49" fontId="1" fillId="2" borderId="2" xfId="0" applyNumberFormat="1" applyFont="1" applyFill="1" applyBorder="1" applyAlignment="1">
      <alignment horizontal="center" textRotation="45" readingOrder="1"/>
    </xf>
    <xf numFmtId="1" fontId="1" fillId="2" borderId="2" xfId="0" applyNumberFormat="1" applyFont="1" applyFill="1" applyBorder="1" applyAlignment="1">
      <alignment horizontal="center" textRotation="45" readingOrder="1"/>
    </xf>
    <xf numFmtId="1" fontId="1" fillId="2" borderId="0" xfId="0" applyNumberFormat="1" applyFont="1" applyFill="1" applyBorder="1" applyAlignment="1">
      <alignment horizontal="center" textRotation="45" readingOrder="1"/>
    </xf>
    <xf numFmtId="0" fontId="4" fillId="0" borderId="0" xfId="0" applyFont="1" applyAlignment="1">
      <alignment horizontal="center" textRotation="90"/>
    </xf>
    <xf numFmtId="0" fontId="0" fillId="0" borderId="3" xfId="0" applyBorder="1" applyAlignment="1">
      <alignment horizontal="center" vertical="center"/>
    </xf>
    <xf numFmtId="0" fontId="0" fillId="0" borderId="3" xfId="0" applyFont="1" applyBorder="1" applyAlignment="1">
      <alignment horizontal="center" vertical="center"/>
    </xf>
    <xf numFmtId="1" fontId="0" fillId="0" borderId="3" xfId="0" applyNumberFormat="1" applyFont="1" applyBorder="1" applyAlignment="1">
      <alignment horizontal="center" vertical="center"/>
    </xf>
    <xf numFmtId="44" fontId="0" fillId="0" borderId="3" xfId="0" applyNumberFormat="1" applyFont="1" applyBorder="1" applyAlignment="1">
      <alignment horizontal="center" vertical="center"/>
    </xf>
    <xf numFmtId="0" fontId="0" fillId="0" borderId="3" xfId="0" applyFont="1" applyBorder="1" applyAlignment="1">
      <alignment horizontal="center" vertical="center" readingOrder="1"/>
    </xf>
    <xf numFmtId="49" fontId="0" fillId="0" borderId="0" xfId="0" applyNumberFormat="1"/>
    <xf numFmtId="0" fontId="0" fillId="0" borderId="0" xfId="0" applyAlignment="1">
      <alignment horizontal="left" readingOrder="1"/>
    </xf>
    <xf numFmtId="164" fontId="0" fillId="0" borderId="0" xfId="0" applyNumberFormat="1"/>
    <xf numFmtId="44" fontId="0" fillId="0" borderId="0" xfId="0" applyNumberFormat="1"/>
    <xf numFmtId="1" fontId="0" fillId="0" borderId="0" xfId="0" applyNumberFormat="1"/>
    <xf numFmtId="1" fontId="0" fillId="6" borderId="3" xfId="0" applyNumberFormat="1" applyFill="1" applyBorder="1" applyAlignment="1">
      <alignment horizontal="center"/>
    </xf>
    <xf numFmtId="1" fontId="0" fillId="6" borderId="3" xfId="0" applyNumberFormat="1" applyFont="1" applyFill="1" applyBorder="1" applyAlignment="1">
      <alignment horizontal="center" vertical="center" readingOrder="1"/>
    </xf>
    <xf numFmtId="165" fontId="0" fillId="3" borderId="3" xfId="0" applyNumberFormat="1" applyFont="1" applyFill="1" applyBorder="1" applyAlignment="1">
      <alignment horizontal="center" vertical="center"/>
    </xf>
    <xf numFmtId="1" fontId="0" fillId="7" borderId="3" xfId="0" applyNumberFormat="1" applyFont="1" applyFill="1" applyBorder="1" applyAlignment="1">
      <alignment horizontal="center" vertical="center" readingOrder="1"/>
    </xf>
    <xf numFmtId="1" fontId="0" fillId="7" borderId="3" xfId="0" applyNumberFormat="1" applyFill="1" applyBorder="1" applyAlignment="1">
      <alignment horizontal="center"/>
    </xf>
    <xf numFmtId="0" fontId="3" fillId="0" borderId="3" xfId="1" applyBorder="1"/>
    <xf numFmtId="22" fontId="0" fillId="0" borderId="0" xfId="0" applyNumberFormat="1"/>
    <xf numFmtId="165" fontId="0" fillId="0" borderId="0" xfId="0" applyNumberFormat="1"/>
    <xf numFmtId="1" fontId="1" fillId="2" borderId="0" xfId="0" applyNumberFormat="1" applyFont="1" applyFill="1" applyBorder="1" applyAlignment="1">
      <alignment horizontal="left" textRotation="45" readingOrder="1"/>
    </xf>
    <xf numFmtId="0" fontId="3" fillId="0" borderId="3" xfId="1" applyFont="1" applyBorder="1" applyAlignment="1">
      <alignment horizontal="left" vertical="center"/>
    </xf>
    <xf numFmtId="0" fontId="0" fillId="0" borderId="0" xfId="0" applyAlignment="1">
      <alignment horizontal="left"/>
    </xf>
    <xf numFmtId="0" fontId="0" fillId="0" borderId="0" xfId="0" applyAlignment="1">
      <alignment horizontal="center"/>
    </xf>
    <xf numFmtId="0" fontId="4" fillId="0" borderId="0" xfId="0" applyFont="1" applyBorder="1" applyAlignment="1">
      <alignment horizontal="center" vertical="center"/>
    </xf>
    <xf numFmtId="49" fontId="4" fillId="0" borderId="0" xfId="0" applyNumberFormat="1" applyFont="1" applyBorder="1" applyAlignment="1">
      <alignment horizontal="right" vertical="center"/>
    </xf>
    <xf numFmtId="1" fontId="4" fillId="0" borderId="0" xfId="0" applyNumberFormat="1" applyFont="1" applyBorder="1" applyAlignment="1">
      <alignment horizontal="center" vertical="center"/>
    </xf>
    <xf numFmtId="1" fontId="4" fillId="0" borderId="0" xfId="0" applyNumberFormat="1" applyFont="1" applyBorder="1" applyAlignment="1">
      <alignment horizontal="right" vertical="center"/>
    </xf>
    <xf numFmtId="0" fontId="4" fillId="0" borderId="0" xfId="0" applyFont="1"/>
    <xf numFmtId="22" fontId="4" fillId="0" borderId="0" xfId="0" applyNumberFormat="1" applyFont="1" applyAlignment="1">
      <alignment horizontal="left"/>
    </xf>
    <xf numFmtId="0" fontId="4" fillId="0" borderId="0" xfId="0" applyFont="1" applyAlignment="1">
      <alignment horizontal="right"/>
    </xf>
    <xf numFmtId="49" fontId="4" fillId="0" borderId="0" xfId="0" applyNumberFormat="1" applyFont="1" applyBorder="1" applyAlignment="1">
      <alignment horizontal="center" vertical="center"/>
    </xf>
    <xf numFmtId="0" fontId="4" fillId="0" borderId="0" xfId="0" applyFont="1" applyBorder="1" applyAlignment="1">
      <alignment horizontal="center" vertical="center" readingOrder="1"/>
    </xf>
    <xf numFmtId="165" fontId="4" fillId="0" borderId="0" xfId="0" applyNumberFormat="1" applyFont="1" applyBorder="1" applyAlignment="1">
      <alignment horizontal="right" vertical="center"/>
    </xf>
    <xf numFmtId="22" fontId="4" fillId="0" borderId="0" xfId="0" applyNumberFormat="1" applyFont="1"/>
    <xf numFmtId="0" fontId="6" fillId="0" borderId="0" xfId="0" applyFont="1" applyBorder="1" applyAlignment="1">
      <alignment horizontal="center" vertical="center" wrapText="1"/>
    </xf>
    <xf numFmtId="1" fontId="4" fillId="0" borderId="4" xfId="0" applyNumberFormat="1" applyFont="1" applyBorder="1" applyAlignment="1">
      <alignment horizontal="right" vertical="center"/>
    </xf>
    <xf numFmtId="44" fontId="4" fillId="0" borderId="4" xfId="0" applyNumberFormat="1" applyFont="1" applyBorder="1" applyAlignment="1">
      <alignment horizontal="center" vertical="center"/>
    </xf>
    <xf numFmtId="0" fontId="5" fillId="0" borderId="4" xfId="1" applyFont="1" applyBorder="1" applyAlignment="1">
      <alignment horizontal="center" vertical="center"/>
    </xf>
    <xf numFmtId="22" fontId="4" fillId="0" borderId="0" xfId="0" applyNumberFormat="1" applyFont="1" applyAlignment="1">
      <alignment vertical="center"/>
    </xf>
    <xf numFmtId="0" fontId="4" fillId="0" borderId="0" xfId="0" applyFont="1" applyAlignment="1">
      <alignment vertical="center"/>
    </xf>
    <xf numFmtId="49" fontId="4" fillId="0" borderId="0" xfId="0" applyNumberFormat="1" applyFont="1" applyAlignment="1">
      <alignment vertical="center"/>
    </xf>
    <xf numFmtId="22" fontId="4" fillId="0" borderId="0" xfId="0" applyNumberFormat="1" applyFont="1" applyAlignment="1">
      <alignment horizontal="left" vertical="center" readingOrder="1"/>
    </xf>
    <xf numFmtId="0" fontId="4" fillId="0" borderId="0" xfId="0" applyFont="1" applyBorder="1"/>
    <xf numFmtId="49" fontId="4" fillId="0" borderId="0" xfId="0" applyNumberFormat="1" applyFont="1"/>
    <xf numFmtId="0" fontId="3" fillId="0" borderId="3" xfId="1" applyBorder="1" applyAlignment="1">
      <alignment horizontal="left" vertical="center"/>
    </xf>
    <xf numFmtId="165" fontId="1" fillId="2" borderId="2" xfId="0" applyNumberFormat="1" applyFont="1" applyFill="1" applyBorder="1" applyAlignment="1">
      <alignment horizontal="center" textRotation="45" readingOrder="1"/>
    </xf>
    <xf numFmtId="165" fontId="4" fillId="0" borderId="0" xfId="0" applyNumberFormat="1" applyFont="1"/>
    <xf numFmtId="0" fontId="0" fillId="0" borderId="0" xfId="0" applyFont="1" applyAlignment="1">
      <alignment horizontal="center"/>
    </xf>
    <xf numFmtId="0" fontId="7" fillId="2" borderId="1" xfId="0" applyFont="1" applyFill="1" applyBorder="1" applyAlignment="1">
      <alignment horizontal="left" textRotation="45" readingOrder="1"/>
    </xf>
    <xf numFmtId="0" fontId="7" fillId="2" borderId="1" xfId="0" applyFont="1" applyFill="1" applyBorder="1" applyAlignment="1">
      <alignment horizontal="center" textRotation="45"/>
    </xf>
    <xf numFmtId="49" fontId="7" fillId="2" borderId="1" xfId="0" applyNumberFormat="1" applyFont="1" applyFill="1" applyBorder="1" applyAlignment="1">
      <alignment horizontal="center" textRotation="45"/>
    </xf>
    <xf numFmtId="44" fontId="7" fillId="2" borderId="1" xfId="0" applyNumberFormat="1" applyFont="1" applyFill="1" applyBorder="1" applyAlignment="1">
      <alignment horizontal="center" textRotation="45"/>
    </xf>
    <xf numFmtId="0" fontId="0" fillId="0" borderId="3" xfId="0" applyFont="1" applyBorder="1" applyAlignment="1">
      <alignment horizontal="left" vertical="center"/>
    </xf>
    <xf numFmtId="1" fontId="4" fillId="0" borderId="0" xfId="0" applyNumberFormat="1" applyFont="1"/>
    <xf numFmtId="44" fontId="4" fillId="0" borderId="0" xfId="0" applyNumberFormat="1" applyFont="1" applyAlignment="1">
      <alignment horizontal="right"/>
    </xf>
    <xf numFmtId="44" fontId="4" fillId="0" borderId="0" xfId="0" applyNumberFormat="1" applyFont="1"/>
    <xf numFmtId="0" fontId="4" fillId="0" borderId="0" xfId="0" applyFont="1" applyAlignment="1">
      <alignment horizontal="left"/>
    </xf>
    <xf numFmtId="49" fontId="4" fillId="0" borderId="0" xfId="0" applyNumberFormat="1" applyFont="1" applyFill="1" applyBorder="1" applyAlignment="1">
      <alignment horizontal="right" vertical="center"/>
    </xf>
    <xf numFmtId="0" fontId="4" fillId="0" borderId="0" xfId="0" applyFont="1" applyBorder="1" applyAlignment="1">
      <alignment horizontal="right" vertical="center"/>
    </xf>
    <xf numFmtId="1" fontId="4" fillId="0" borderId="0" xfId="0" applyNumberFormat="1" applyFont="1" applyBorder="1" applyAlignment="1">
      <alignment horizontal="right" vertical="center" readingOrder="1"/>
    </xf>
    <xf numFmtId="44" fontId="4" fillId="0" borderId="0" xfId="0" applyNumberFormat="1" applyFont="1" applyBorder="1" applyAlignment="1">
      <alignment horizontal="right" vertical="center"/>
    </xf>
    <xf numFmtId="0" fontId="5" fillId="0" borderId="0" xfId="1" applyFont="1" applyBorder="1" applyAlignment="1">
      <alignment horizontal="right" vertical="center"/>
    </xf>
    <xf numFmtId="0" fontId="3" fillId="0" borderId="0" xfId="1" applyBorder="1" applyAlignment="1">
      <alignment horizontal="left" vertical="center" readingOrder="1"/>
    </xf>
    <xf numFmtId="0" fontId="2" fillId="0" borderId="3" xfId="0" applyFont="1" applyBorder="1" applyAlignment="1">
      <alignment horizontal="left" vertical="center" wrapText="1"/>
    </xf>
    <xf numFmtId="49" fontId="4" fillId="0" borderId="0" xfId="0" applyNumberFormat="1" applyFont="1" applyAlignment="1">
      <alignment horizontal="right" vertical="center"/>
    </xf>
    <xf numFmtId="0" fontId="4" fillId="0" borderId="0" xfId="0" applyFont="1" applyAlignment="1">
      <alignment horizontal="right" vertical="center"/>
    </xf>
    <xf numFmtId="0" fontId="0" fillId="8" borderId="3" xfId="0" applyFill="1" applyBorder="1" applyAlignment="1">
      <alignment horizontal="center" vertical="center"/>
    </xf>
    <xf numFmtId="0" fontId="0" fillId="8" borderId="3" xfId="0" applyFont="1" applyFill="1" applyBorder="1" applyAlignment="1">
      <alignment horizontal="left" vertical="center"/>
    </xf>
    <xf numFmtId="49" fontId="0" fillId="8" borderId="3" xfId="0" applyNumberFormat="1" applyFont="1" applyFill="1" applyBorder="1" applyAlignment="1">
      <alignment horizontal="center" vertical="center"/>
    </xf>
    <xf numFmtId="165" fontId="0" fillId="8" borderId="3" xfId="0" applyNumberFormat="1" applyFont="1" applyFill="1" applyBorder="1" applyAlignment="1">
      <alignment horizontal="center" vertical="center"/>
    </xf>
    <xf numFmtId="1" fontId="0" fillId="8" borderId="3" xfId="0" applyNumberFormat="1" applyFont="1" applyFill="1" applyBorder="1" applyAlignment="1">
      <alignment horizontal="center" vertical="center"/>
    </xf>
    <xf numFmtId="44" fontId="0" fillId="8" borderId="3" xfId="0" applyNumberFormat="1" applyFont="1" applyFill="1" applyBorder="1" applyAlignment="1">
      <alignment horizontal="center" vertical="center"/>
    </xf>
    <xf numFmtId="0" fontId="3" fillId="8" borderId="0" xfId="1" applyFill="1" applyBorder="1" applyAlignment="1">
      <alignment horizontal="left" vertical="center" wrapText="1"/>
    </xf>
    <xf numFmtId="0" fontId="3" fillId="8" borderId="3" xfId="1" applyFill="1" applyBorder="1" applyAlignment="1">
      <alignment horizontal="left" vertical="center" wrapText="1"/>
    </xf>
    <xf numFmtId="0" fontId="0" fillId="8" borderId="3" xfId="0" applyFill="1" applyBorder="1" applyAlignment="1">
      <alignment horizontal="center"/>
    </xf>
    <xf numFmtId="0" fontId="0" fillId="8" borderId="0" xfId="0" applyFill="1"/>
    <xf numFmtId="166" fontId="4" fillId="0" borderId="0" xfId="0" applyNumberFormat="1" applyFont="1" applyBorder="1" applyAlignment="1">
      <alignment horizontal="right" vertical="center"/>
    </xf>
    <xf numFmtId="166" fontId="4" fillId="0" borderId="0" xfId="0" applyNumberFormat="1" applyFont="1"/>
    <xf numFmtId="0" fontId="4" fillId="0" borderId="0" xfId="0" applyFont="1" applyFill="1" applyBorder="1" applyAlignment="1">
      <alignment horizontal="left" vertical="center"/>
    </xf>
    <xf numFmtId="1" fontId="4" fillId="0" borderId="0" xfId="0" applyNumberFormat="1" applyFont="1" applyFill="1" applyBorder="1" applyAlignment="1">
      <alignment horizontal="right" vertical="center"/>
    </xf>
    <xf numFmtId="0" fontId="4" fillId="0" borderId="0" xfId="0" applyFont="1" applyBorder="1" applyAlignment="1">
      <alignment horizontal="right" vertical="center" readingOrder="1"/>
    </xf>
    <xf numFmtId="166" fontId="4" fillId="0" borderId="0" xfId="0" applyNumberFormat="1" applyFont="1" applyAlignment="1">
      <alignment horizontal="right"/>
    </xf>
    <xf numFmtId="1" fontId="4" fillId="0" borderId="0" xfId="0" applyNumberFormat="1" applyFont="1" applyAlignment="1">
      <alignment horizontal="right"/>
    </xf>
    <xf numFmtId="0" fontId="0" fillId="0" borderId="0" xfId="0" applyFill="1"/>
    <xf numFmtId="0" fontId="2" fillId="0" borderId="0" xfId="0" applyFont="1" applyFill="1" applyBorder="1" applyAlignment="1">
      <alignment horizontal="left" vertical="center" wrapText="1"/>
    </xf>
    <xf numFmtId="0" fontId="6" fillId="0" borderId="0" xfId="0" applyFont="1" applyFill="1" applyBorder="1" applyAlignment="1">
      <alignment horizontal="right" vertical="center" wrapText="1"/>
    </xf>
    <xf numFmtId="0" fontId="4" fillId="0" borderId="0" xfId="0" applyNumberFormat="1" applyFont="1"/>
    <xf numFmtId="49" fontId="4" fillId="0" borderId="0" xfId="0" applyNumberFormat="1" applyFont="1" applyAlignment="1">
      <alignment horizontal="right"/>
    </xf>
    <xf numFmtId="0" fontId="1" fillId="2" borderId="2" xfId="0" applyFont="1" applyFill="1" applyBorder="1" applyAlignment="1">
      <alignment textRotation="45" readingOrder="1"/>
    </xf>
    <xf numFmtId="49" fontId="1" fillId="2" borderId="2" xfId="0" applyNumberFormat="1" applyFont="1" applyFill="1" applyBorder="1" applyAlignment="1">
      <alignment textRotation="45" readingOrder="1"/>
    </xf>
    <xf numFmtId="1" fontId="1" fillId="2" borderId="2" xfId="0" applyNumberFormat="1" applyFont="1" applyFill="1" applyBorder="1" applyAlignment="1">
      <alignment textRotation="45" readingOrder="1"/>
    </xf>
    <xf numFmtId="49" fontId="0" fillId="0" borderId="0" xfId="0" applyNumberFormat="1" applyFont="1" applyAlignment="1">
      <alignment horizontal="right" vertical="center"/>
    </xf>
    <xf numFmtId="166" fontId="0" fillId="0" borderId="0" xfId="0" applyNumberFormat="1" applyFont="1" applyAlignment="1">
      <alignment horizontal="right" vertical="center"/>
    </xf>
    <xf numFmtId="0" fontId="0" fillId="0" borderId="0" xfId="0" applyNumberFormat="1" applyFont="1" applyAlignment="1">
      <alignment horizontal="right" vertical="center"/>
    </xf>
    <xf numFmtId="0" fontId="1" fillId="2" borderId="1" xfId="0" applyFont="1" applyFill="1" applyBorder="1" applyAlignment="1">
      <alignment horizontal="left" textRotation="45" readingOrder="1"/>
    </xf>
    <xf numFmtId="49" fontId="1" fillId="2" borderId="1" xfId="0" applyNumberFormat="1" applyFont="1" applyFill="1" applyBorder="1" applyAlignment="1">
      <alignment horizontal="center" textRotation="45" readingOrder="1"/>
    </xf>
    <xf numFmtId="0" fontId="1" fillId="2" borderId="1" xfId="0" applyFont="1" applyFill="1" applyBorder="1" applyAlignment="1">
      <alignment horizontal="right" textRotation="45" readingOrder="1"/>
    </xf>
    <xf numFmtId="164" fontId="1" fillId="2" borderId="1" xfId="0" applyNumberFormat="1" applyFont="1" applyFill="1" applyBorder="1" applyAlignment="1">
      <alignment horizontal="right" textRotation="45" readingOrder="1"/>
    </xf>
    <xf numFmtId="1" fontId="1" fillId="2" borderId="1" xfId="0" applyNumberFormat="1" applyFont="1" applyFill="1" applyBorder="1" applyAlignment="1">
      <alignment horizontal="right" textRotation="45" readingOrder="1"/>
    </xf>
    <xf numFmtId="0" fontId="0" fillId="0" borderId="0" xfId="0" applyBorder="1" applyAlignment="1">
      <alignment horizontal="center" vertical="center"/>
    </xf>
    <xf numFmtId="0" fontId="0" fillId="0" borderId="0" xfId="0" applyFont="1" applyBorder="1" applyAlignment="1">
      <alignment vertical="center"/>
    </xf>
    <xf numFmtId="1" fontId="0" fillId="0" borderId="0" xfId="0" applyNumberFormat="1" applyFont="1" applyBorder="1" applyAlignment="1">
      <alignment vertical="center"/>
    </xf>
    <xf numFmtId="0" fontId="0" fillId="0" borderId="0" xfId="0" applyNumberFormat="1" applyFont="1" applyBorder="1" applyAlignment="1">
      <alignment horizontal="right" vertical="center"/>
    </xf>
    <xf numFmtId="165" fontId="0" fillId="0" borderId="0" xfId="0" applyNumberFormat="1" applyFont="1" applyBorder="1" applyAlignment="1">
      <alignment horizontal="right" vertical="center"/>
    </xf>
    <xf numFmtId="0" fontId="0" fillId="0" borderId="0" xfId="0" applyFont="1" applyBorder="1" applyAlignment="1">
      <alignment horizontal="right" vertical="center"/>
    </xf>
    <xf numFmtId="44" fontId="0" fillId="0" borderId="0" xfId="0" applyNumberFormat="1" applyFont="1" applyBorder="1" applyAlignment="1">
      <alignment horizontal="right" vertical="center"/>
    </xf>
    <xf numFmtId="0" fontId="3" fillId="0" borderId="0" xfId="1" applyBorder="1" applyAlignment="1">
      <alignment horizontal="left" vertical="center"/>
    </xf>
    <xf numFmtId="165" fontId="0" fillId="0" borderId="0" xfId="0" applyNumberFormat="1" applyFont="1" applyBorder="1" applyAlignment="1">
      <alignment horizontal="right" vertical="center" readingOrder="1"/>
    </xf>
    <xf numFmtId="1" fontId="0" fillId="0" borderId="0" xfId="0" applyNumberFormat="1" applyFont="1" applyBorder="1" applyAlignment="1">
      <alignment horizontal="right" vertical="center"/>
    </xf>
    <xf numFmtId="22" fontId="5" fillId="0" borderId="0" xfId="1" applyNumberFormat="1" applyFont="1" applyBorder="1" applyAlignment="1">
      <alignment horizontal="center" vertical="center"/>
    </xf>
    <xf numFmtId="0" fontId="0" fillId="0" borderId="0" xfId="0" applyFill="1" applyBorder="1" applyAlignment="1">
      <alignment horizontal="center" vertical="center"/>
    </xf>
    <xf numFmtId="0" fontId="0" fillId="0" borderId="0" xfId="0" applyFont="1" applyFill="1" applyBorder="1" applyAlignment="1">
      <alignment horizontal="left" vertical="center"/>
    </xf>
    <xf numFmtId="0" fontId="3" fillId="0" borderId="0" xfId="1" applyFill="1" applyBorder="1" applyAlignment="1">
      <alignment horizontal="left" vertical="center"/>
    </xf>
    <xf numFmtId="0" fontId="0" fillId="0" borderId="0" xfId="0" applyFont="1" applyFill="1" applyBorder="1" applyAlignment="1">
      <alignment vertical="center" readingOrder="1"/>
    </xf>
    <xf numFmtId="2" fontId="0" fillId="0" borderId="0" xfId="0" applyNumberFormat="1" applyFont="1" applyFill="1" applyBorder="1" applyAlignment="1">
      <alignment vertical="center"/>
    </xf>
    <xf numFmtId="0" fontId="0" fillId="0" borderId="0" xfId="0" applyFont="1" applyFill="1" applyBorder="1" applyAlignment="1">
      <alignment vertical="center"/>
    </xf>
    <xf numFmtId="164" fontId="0" fillId="0" borderId="0" xfId="0" applyNumberFormat="1" applyFont="1" applyFill="1" applyBorder="1" applyAlignment="1">
      <alignment vertical="center"/>
    </xf>
    <xf numFmtId="1" fontId="0" fillId="0" borderId="0" xfId="0" applyNumberFormat="1" applyFont="1" applyFill="1" applyBorder="1" applyAlignment="1">
      <alignment vertical="center"/>
    </xf>
    <xf numFmtId="165" fontId="0" fillId="0" borderId="0" xfId="0" applyNumberFormat="1" applyFont="1" applyFill="1" applyBorder="1" applyAlignment="1">
      <alignment vertical="center"/>
    </xf>
    <xf numFmtId="44" fontId="0" fillId="0" borderId="0" xfId="0" applyNumberFormat="1" applyFont="1" applyFill="1" applyBorder="1" applyAlignment="1">
      <alignment vertical="center"/>
    </xf>
    <xf numFmtId="1" fontId="4" fillId="0" borderId="0" xfId="0" applyNumberFormat="1" applyFont="1" applyAlignment="1"/>
    <xf numFmtId="165" fontId="4" fillId="0" borderId="0" xfId="0" applyNumberFormat="1" applyFont="1" applyAlignment="1"/>
    <xf numFmtId="166" fontId="4" fillId="0" borderId="0" xfId="0" applyNumberFormat="1" applyFont="1" applyAlignment="1"/>
    <xf numFmtId="1" fontId="4" fillId="0" borderId="0" xfId="0" applyNumberFormat="1" applyFont="1" applyAlignment="1">
      <alignment vertical="center"/>
    </xf>
    <xf numFmtId="165" fontId="4" fillId="0" borderId="0" xfId="0" applyNumberFormat="1" applyFont="1" applyAlignment="1">
      <alignment vertical="center"/>
    </xf>
    <xf numFmtId="166" fontId="4" fillId="0" borderId="0" xfId="0" applyNumberFormat="1" applyFont="1" applyAlignment="1">
      <alignment vertical="center"/>
    </xf>
    <xf numFmtId="1" fontId="4" fillId="0" borderId="0" xfId="0" applyNumberFormat="1" applyFont="1" applyBorder="1" applyAlignment="1">
      <alignment vertical="center"/>
    </xf>
    <xf numFmtId="165" fontId="4" fillId="0" borderId="0" xfId="0" applyNumberFormat="1" applyFont="1" applyBorder="1" applyAlignment="1">
      <alignment vertical="center"/>
    </xf>
    <xf numFmtId="166" fontId="4" fillId="0" borderId="0" xfId="0" applyNumberFormat="1" applyFont="1" applyBorder="1" applyAlignment="1">
      <alignment vertical="center"/>
    </xf>
    <xf numFmtId="49" fontId="1" fillId="2" borderId="1" xfId="0" applyNumberFormat="1" applyFont="1" applyFill="1" applyBorder="1" applyAlignment="1">
      <alignment horizontal="right" textRotation="45" readingOrder="1"/>
    </xf>
    <xf numFmtId="1" fontId="1" fillId="2" borderId="1" xfId="0" applyNumberFormat="1" applyFont="1" applyFill="1" applyBorder="1" applyAlignment="1">
      <alignment horizontal="left" textRotation="45" readingOrder="1"/>
    </xf>
    <xf numFmtId="49" fontId="0" fillId="0" borderId="0" xfId="0" applyNumberFormat="1" applyAlignment="1">
      <alignment horizontal="right"/>
    </xf>
    <xf numFmtId="49" fontId="0" fillId="0" borderId="0" xfId="0" applyNumberFormat="1" applyFont="1" applyFill="1" applyBorder="1" applyAlignment="1">
      <alignment horizontal="right" vertical="center"/>
    </xf>
    <xf numFmtId="44" fontId="0" fillId="9" borderId="0" xfId="0" applyNumberFormat="1" applyFont="1" applyFill="1" applyBorder="1" applyAlignment="1">
      <alignment vertical="center"/>
    </xf>
    <xf numFmtId="0" fontId="0" fillId="8" borderId="0" xfId="0" applyFill="1" applyBorder="1" applyAlignment="1">
      <alignment horizontal="center" vertical="center"/>
    </xf>
    <xf numFmtId="0" fontId="0" fillId="0" borderId="0" xfId="0" applyFont="1" applyBorder="1" applyAlignment="1">
      <alignment horizontal="left" vertical="center"/>
    </xf>
    <xf numFmtId="49" fontId="0" fillId="0" borderId="0" xfId="0" applyNumberFormat="1" applyFont="1" applyBorder="1" applyAlignment="1">
      <alignment horizontal="right" vertical="center" readingOrder="1"/>
    </xf>
    <xf numFmtId="166" fontId="0" fillId="0" borderId="0" xfId="0" applyNumberFormat="1" applyFont="1" applyBorder="1" applyAlignment="1">
      <alignment horizontal="right" vertical="center"/>
    </xf>
    <xf numFmtId="165" fontId="3" fillId="0" borderId="0" xfId="1" applyNumberFormat="1" applyBorder="1" applyAlignment="1">
      <alignment horizontal="left" vertical="center"/>
    </xf>
    <xf numFmtId="165" fontId="0" fillId="0" borderId="0" xfId="0" applyNumberFormat="1" applyFont="1" applyBorder="1" applyAlignment="1">
      <alignment horizontal="left" vertical="center"/>
    </xf>
    <xf numFmtId="44" fontId="0" fillId="9" borderId="3" xfId="0" applyNumberFormat="1" applyFont="1" applyFill="1" applyBorder="1" applyAlignment="1">
      <alignment horizontal="center" vertical="center"/>
    </xf>
    <xf numFmtId="1" fontId="0" fillId="0" borderId="0" xfId="0" applyNumberFormat="1" applyFont="1" applyBorder="1" applyAlignment="1">
      <alignment horizontal="center" vertical="center"/>
    </xf>
    <xf numFmtId="44" fontId="0" fillId="0" borderId="0" xfId="0" applyNumberFormat="1" applyFont="1" applyBorder="1" applyAlignment="1">
      <alignment horizontal="center" vertical="center"/>
    </xf>
    <xf numFmtId="0" fontId="0" fillId="0" borderId="0" xfId="0" applyNumberFormat="1" applyFont="1" applyBorder="1" applyAlignment="1">
      <alignment vertical="center"/>
    </xf>
    <xf numFmtId="0" fontId="0" fillId="0" borderId="0" xfId="0" applyBorder="1" applyAlignment="1"/>
    <xf numFmtId="0" fontId="11" fillId="2" borderId="3" xfId="0" applyFont="1" applyFill="1" applyBorder="1" applyAlignment="1">
      <alignment horizontal="right" vertical="center"/>
    </xf>
    <xf numFmtId="0" fontId="12" fillId="0" borderId="0" xfId="0" applyFont="1"/>
    <xf numFmtId="0" fontId="13" fillId="0" borderId="3" xfId="0" applyFont="1" applyBorder="1" applyAlignment="1">
      <alignment horizontal="center" vertical="center"/>
    </xf>
    <xf numFmtId="0" fontId="13" fillId="0" borderId="3" xfId="0" applyFont="1" applyBorder="1" applyAlignment="1">
      <alignment vertical="center"/>
    </xf>
    <xf numFmtId="0" fontId="13" fillId="0" borderId="3" xfId="0" applyFont="1" applyBorder="1" applyAlignment="1">
      <alignment horizontal="left" vertical="center"/>
    </xf>
    <xf numFmtId="0" fontId="13" fillId="0" borderId="3" xfId="0" applyFont="1" applyBorder="1" applyAlignment="1">
      <alignment horizontal="right" vertical="center"/>
    </xf>
    <xf numFmtId="0" fontId="14" fillId="0" borderId="3" xfId="0" applyFont="1" applyBorder="1" applyAlignment="1">
      <alignment horizontal="right" vertical="center"/>
    </xf>
    <xf numFmtId="167" fontId="14" fillId="0" borderId="3" xfId="0" applyNumberFormat="1" applyFont="1" applyBorder="1" applyAlignment="1">
      <alignment vertical="center"/>
    </xf>
    <xf numFmtId="167" fontId="13" fillId="0" borderId="3" xfId="0" applyNumberFormat="1" applyFont="1" applyBorder="1" applyAlignment="1">
      <alignment vertical="center"/>
    </xf>
    <xf numFmtId="0" fontId="13" fillId="0" borderId="3" xfId="0" applyFont="1" applyFill="1" applyBorder="1" applyAlignment="1">
      <alignment horizontal="right" vertical="center"/>
    </xf>
    <xf numFmtId="167" fontId="14" fillId="0" borderId="3" xfId="0" applyNumberFormat="1" applyFont="1" applyFill="1" applyBorder="1" applyAlignment="1">
      <alignment vertical="center"/>
    </xf>
    <xf numFmtId="167" fontId="13" fillId="0" borderId="3" xfId="0" applyNumberFormat="1" applyFont="1" applyFill="1" applyBorder="1" applyAlignment="1">
      <alignment vertical="center"/>
    </xf>
    <xf numFmtId="0" fontId="13" fillId="0" borderId="5" xfId="0" applyFont="1" applyBorder="1" applyAlignment="1">
      <alignment vertical="center"/>
    </xf>
    <xf numFmtId="0" fontId="13" fillId="0" borderId="5" xfId="0" applyFont="1" applyBorder="1" applyAlignment="1">
      <alignment horizontal="left" vertical="center"/>
    </xf>
    <xf numFmtId="0" fontId="13" fillId="0" borderId="5" xfId="0" applyFont="1" applyBorder="1" applyAlignment="1">
      <alignment horizontal="right" vertical="center"/>
    </xf>
    <xf numFmtId="0" fontId="12" fillId="0" borderId="0" xfId="0" applyFont="1" applyAlignment="1">
      <alignment vertical="center"/>
    </xf>
    <xf numFmtId="0" fontId="12" fillId="0" borderId="0" xfId="0" applyFont="1" applyAlignment="1">
      <alignment horizontal="left" vertical="center"/>
    </xf>
    <xf numFmtId="0" fontId="12" fillId="0" borderId="0" xfId="0" applyFont="1" applyAlignment="1">
      <alignment horizontal="right" vertical="center"/>
    </xf>
    <xf numFmtId="167" fontId="12" fillId="0" borderId="0" xfId="0" applyNumberFormat="1" applyFont="1" applyAlignment="1">
      <alignment vertical="center"/>
    </xf>
    <xf numFmtId="0" fontId="12" fillId="0" borderId="0" xfId="0" applyFont="1" applyAlignment="1">
      <alignment horizontal="left"/>
    </xf>
    <xf numFmtId="0" fontId="13" fillId="0" borderId="0" xfId="0" applyFont="1" applyAlignment="1">
      <alignment vertical="center"/>
    </xf>
    <xf numFmtId="0" fontId="13" fillId="0" borderId="0" xfId="0" applyFont="1" applyAlignment="1">
      <alignment horizontal="left" vertical="center"/>
    </xf>
    <xf numFmtId="0" fontId="13" fillId="0" borderId="0" xfId="0" applyFont="1" applyAlignment="1">
      <alignment horizontal="center" vertical="center"/>
    </xf>
    <xf numFmtId="0" fontId="11" fillId="2" borderId="5" xfId="0" applyFont="1" applyFill="1" applyBorder="1" applyAlignment="1">
      <alignment horizontal="right" vertical="center"/>
    </xf>
    <xf numFmtId="1" fontId="11" fillId="2" borderId="5" xfId="0" applyNumberFormat="1" applyFont="1" applyFill="1" applyBorder="1" applyAlignment="1">
      <alignment horizontal="right" vertical="center"/>
    </xf>
    <xf numFmtId="166" fontId="11" fillId="2" borderId="5" xfId="0" applyNumberFormat="1" applyFont="1" applyFill="1" applyBorder="1" applyAlignment="1">
      <alignment horizontal="right" vertical="center"/>
    </xf>
    <xf numFmtId="167" fontId="11" fillId="2" borderId="5" xfId="0" applyNumberFormat="1" applyFont="1" applyFill="1" applyBorder="1" applyAlignment="1">
      <alignment horizontal="right" vertical="center"/>
    </xf>
    <xf numFmtId="0" fontId="11" fillId="2" borderId="3" xfId="0" applyFont="1" applyFill="1" applyBorder="1" applyAlignment="1">
      <alignment horizontal="left" vertical="center"/>
    </xf>
    <xf numFmtId="166" fontId="11" fillId="2" borderId="3" xfId="0" applyNumberFormat="1" applyFont="1" applyFill="1" applyBorder="1" applyAlignment="1">
      <alignment horizontal="right" vertical="center"/>
    </xf>
    <xf numFmtId="0" fontId="0" fillId="0" borderId="3" xfId="0" applyBorder="1" applyAlignment="1">
      <alignment horizontal="right"/>
    </xf>
    <xf numFmtId="1" fontId="0" fillId="0" borderId="3" xfId="0" applyNumberFormat="1" applyBorder="1" applyAlignment="1">
      <alignment horizontal="right"/>
    </xf>
    <xf numFmtId="44" fontId="0" fillId="0" borderId="3" xfId="0" applyNumberFormat="1" applyFont="1" applyBorder="1" applyAlignment="1">
      <alignment horizontal="right" vertical="center"/>
    </xf>
    <xf numFmtId="0" fontId="0" fillId="0" borderId="3" xfId="0" applyFont="1" applyBorder="1" applyAlignment="1">
      <alignment horizontal="right" vertical="center"/>
    </xf>
    <xf numFmtId="1" fontId="0" fillId="0" borderId="3" xfId="0" applyNumberFormat="1" applyFont="1" applyBorder="1" applyAlignment="1">
      <alignment horizontal="right" vertical="center"/>
    </xf>
    <xf numFmtId="0" fontId="1" fillId="2" borderId="2" xfId="0" applyFont="1" applyFill="1" applyBorder="1" applyAlignment="1">
      <alignment horizontal="left" textRotation="45" readingOrder="1"/>
    </xf>
    <xf numFmtId="49" fontId="1" fillId="2" borderId="2" xfId="0" applyNumberFormat="1" applyFont="1" applyFill="1" applyBorder="1" applyAlignment="1">
      <alignment horizontal="right" textRotation="45" readingOrder="1"/>
    </xf>
    <xf numFmtId="0" fontId="1" fillId="2" borderId="2" xfId="0" applyFont="1" applyFill="1" applyBorder="1" applyAlignment="1">
      <alignment horizontal="right" textRotation="45" readingOrder="1"/>
    </xf>
    <xf numFmtId="0" fontId="0" fillId="0" borderId="3" xfId="0" applyFont="1" applyBorder="1" applyAlignment="1">
      <alignment vertical="center"/>
    </xf>
    <xf numFmtId="0" fontId="0" fillId="0" borderId="3" xfId="0" applyFont="1" applyBorder="1" applyAlignment="1">
      <alignment horizontal="right" vertical="center" readingOrder="1"/>
    </xf>
    <xf numFmtId="0" fontId="0" fillId="0" borderId="3" xfId="0" applyNumberFormat="1" applyFont="1" applyBorder="1" applyAlignment="1">
      <alignment horizontal="right" vertical="center"/>
    </xf>
    <xf numFmtId="0" fontId="0" fillId="0" borderId="3" xfId="0" applyNumberFormat="1" applyFont="1" applyBorder="1" applyAlignment="1">
      <alignment horizontal="center" vertical="center"/>
    </xf>
    <xf numFmtId="0" fontId="15" fillId="2" borderId="5" xfId="0" applyFont="1" applyFill="1" applyBorder="1" applyAlignment="1">
      <alignment horizontal="right" vertical="center"/>
    </xf>
    <xf numFmtId="1" fontId="0" fillId="8" borderId="3" xfId="0" applyNumberFormat="1" applyFont="1" applyFill="1" applyBorder="1" applyAlignment="1">
      <alignment horizontal="left" vertical="center"/>
    </xf>
    <xf numFmtId="165" fontId="0" fillId="8" borderId="3" xfId="0" applyNumberFormat="1" applyFont="1" applyFill="1" applyBorder="1" applyAlignment="1">
      <alignment horizontal="left" vertical="center"/>
    </xf>
    <xf numFmtId="0" fontId="0" fillId="8" borderId="3" xfId="0" applyFill="1" applyBorder="1" applyAlignment="1">
      <alignment horizontal="left"/>
    </xf>
    <xf numFmtId="49" fontId="0" fillId="8" borderId="3" xfId="0" applyNumberFormat="1" applyFont="1" applyFill="1" applyBorder="1" applyAlignment="1">
      <alignment horizontal="right" vertical="center"/>
    </xf>
    <xf numFmtId="1" fontId="0" fillId="8" borderId="3" xfId="0" applyNumberFormat="1" applyFont="1" applyFill="1" applyBorder="1" applyAlignment="1">
      <alignment horizontal="right" vertical="center" readingOrder="1"/>
    </xf>
    <xf numFmtId="0" fontId="0" fillId="8" borderId="3" xfId="0" applyFont="1" applyFill="1" applyBorder="1" applyAlignment="1">
      <alignment horizontal="right" vertical="center"/>
    </xf>
    <xf numFmtId="165" fontId="0" fillId="8" borderId="3" xfId="0" applyNumberFormat="1" applyFill="1" applyBorder="1" applyAlignment="1">
      <alignment horizontal="right"/>
    </xf>
    <xf numFmtId="165" fontId="1" fillId="2" borderId="2" xfId="0" applyNumberFormat="1" applyFont="1" applyFill="1" applyBorder="1" applyAlignment="1">
      <alignment horizontal="right" textRotation="45" readingOrder="1"/>
    </xf>
    <xf numFmtId="1" fontId="0" fillId="8" borderId="3" xfId="0" applyNumberFormat="1" applyFont="1" applyFill="1" applyBorder="1" applyAlignment="1">
      <alignment horizontal="right" vertical="center"/>
    </xf>
    <xf numFmtId="22" fontId="4" fillId="0" borderId="0" xfId="0" applyNumberFormat="1" applyFont="1" applyAlignment="1">
      <alignment horizontal="right" vertical="center"/>
    </xf>
    <xf numFmtId="0" fontId="4" fillId="0" borderId="0" xfId="0" applyFont="1" applyFill="1" applyBorder="1" applyAlignment="1">
      <alignment horizontal="right" vertical="center"/>
    </xf>
    <xf numFmtId="0" fontId="4" fillId="0" borderId="0" xfId="0" applyNumberFormat="1" applyFont="1" applyBorder="1" applyAlignment="1">
      <alignment horizontal="right" vertical="center"/>
    </xf>
    <xf numFmtId="0" fontId="4" fillId="0" borderId="0" xfId="0" applyNumberFormat="1" applyFont="1" applyAlignment="1">
      <alignment vertical="center"/>
    </xf>
    <xf numFmtId="22" fontId="5" fillId="0" borderId="4" xfId="1" applyNumberFormat="1" applyFont="1" applyBorder="1" applyAlignment="1">
      <alignment horizontal="center" vertical="center"/>
    </xf>
    <xf numFmtId="0" fontId="0" fillId="9" borderId="0" xfId="0" applyFill="1"/>
    <xf numFmtId="0" fontId="0" fillId="3" borderId="0" xfId="0" applyFill="1"/>
    <xf numFmtId="0" fontId="0" fillId="6" borderId="0" xfId="0" applyFill="1"/>
    <xf numFmtId="0" fontId="3" fillId="8" borderId="3" xfId="1" applyFill="1" applyBorder="1" applyAlignment="1">
      <alignment horizontal="left" vertical="center"/>
    </xf>
    <xf numFmtId="0" fontId="0" fillId="6" borderId="3" xfId="0" applyFont="1" applyFill="1" applyBorder="1" applyAlignment="1">
      <alignment horizontal="right" vertical="center"/>
    </xf>
    <xf numFmtId="0" fontId="0" fillId="8" borderId="3" xfId="0" applyFont="1" applyFill="1" applyBorder="1" applyAlignment="1">
      <alignment horizontal="center" vertical="center" readingOrder="1"/>
    </xf>
    <xf numFmtId="49" fontId="0" fillId="8" borderId="3" xfId="0" applyNumberFormat="1" applyFill="1" applyBorder="1" applyAlignment="1">
      <alignment horizontal="center"/>
    </xf>
    <xf numFmtId="0" fontId="3" fillId="8" borderId="3" xfId="1" applyFont="1" applyFill="1" applyBorder="1" applyAlignment="1">
      <alignment horizontal="left" vertical="center" readingOrder="1"/>
    </xf>
    <xf numFmtId="0" fontId="0" fillId="8" borderId="0" xfId="0" applyFont="1" applyFill="1" applyBorder="1" applyAlignment="1">
      <alignment vertical="center"/>
    </xf>
    <xf numFmtId="0" fontId="0" fillId="8" borderId="0" xfId="0" applyFill="1" applyBorder="1" applyAlignment="1"/>
    <xf numFmtId="0" fontId="0" fillId="8" borderId="0" xfId="0" applyNumberFormat="1" applyFont="1" applyFill="1" applyBorder="1" applyAlignment="1">
      <alignment vertical="center"/>
    </xf>
    <xf numFmtId="1" fontId="0" fillId="8" borderId="0" xfId="0" applyNumberFormat="1" applyFont="1" applyFill="1" applyBorder="1" applyAlignment="1">
      <alignment horizontal="center" vertical="center"/>
    </xf>
    <xf numFmtId="1" fontId="0" fillId="8" borderId="0" xfId="0" applyNumberFormat="1" applyFont="1" applyFill="1" applyBorder="1" applyAlignment="1">
      <alignment vertical="center"/>
    </xf>
    <xf numFmtId="44" fontId="0" fillId="8" borderId="0" xfId="0" applyNumberFormat="1" applyFont="1" applyFill="1" applyBorder="1" applyAlignment="1">
      <alignment horizontal="center" vertical="center"/>
    </xf>
    <xf numFmtId="0" fontId="3" fillId="8" borderId="0" xfId="1" applyFill="1" applyBorder="1" applyAlignment="1">
      <alignment horizontal="left" vertical="center" readingOrder="1"/>
    </xf>
    <xf numFmtId="165" fontId="0" fillId="8" borderId="0" xfId="0" applyNumberFormat="1" applyFont="1" applyFill="1" applyBorder="1" applyAlignment="1">
      <alignment vertical="center"/>
    </xf>
    <xf numFmtId="0" fontId="3" fillId="8" borderId="0" xfId="1" applyFont="1" applyFill="1" applyBorder="1" applyAlignment="1">
      <alignment horizontal="left" vertical="center" readingOrder="1"/>
    </xf>
    <xf numFmtId="0" fontId="0" fillId="3" borderId="0" xfId="0" applyFill="1" applyBorder="1" applyAlignment="1">
      <alignment horizontal="center" vertical="center"/>
    </xf>
    <xf numFmtId="0" fontId="0" fillId="3" borderId="0" xfId="0" applyFont="1" applyFill="1" applyBorder="1" applyAlignment="1">
      <alignment vertical="center"/>
    </xf>
    <xf numFmtId="0" fontId="0" fillId="3" borderId="0" xfId="0" applyFill="1" applyBorder="1" applyAlignment="1"/>
    <xf numFmtId="0" fontId="0" fillId="3" borderId="0" xfId="0" applyNumberFormat="1" applyFont="1" applyFill="1" applyBorder="1" applyAlignment="1">
      <alignment vertical="center"/>
    </xf>
    <xf numFmtId="0" fontId="0" fillId="3" borderId="0" xfId="0" applyFill="1" applyBorder="1" applyAlignment="1">
      <alignment horizontal="center"/>
    </xf>
    <xf numFmtId="1" fontId="0" fillId="3" borderId="0" xfId="0" applyNumberFormat="1" applyFill="1" applyBorder="1" applyAlignment="1"/>
    <xf numFmtId="1" fontId="0" fillId="3" borderId="0" xfId="0" applyNumberFormat="1" applyFill="1" applyBorder="1" applyAlignment="1">
      <alignment horizontal="center"/>
    </xf>
    <xf numFmtId="44" fontId="0" fillId="3" borderId="0" xfId="0" applyNumberFormat="1" applyFont="1" applyFill="1" applyBorder="1" applyAlignment="1">
      <alignment horizontal="center" vertical="center"/>
    </xf>
    <xf numFmtId="0" fontId="3" fillId="3" borderId="0" xfId="1" applyFill="1" applyBorder="1" applyAlignment="1">
      <alignment horizontal="left" vertical="center" readingOrder="1"/>
    </xf>
    <xf numFmtId="0" fontId="0" fillId="8" borderId="0" xfId="0" applyNumberFormat="1" applyFont="1" applyFill="1" applyBorder="1" applyAlignment="1">
      <alignment horizontal="right" vertical="center"/>
    </xf>
    <xf numFmtId="165" fontId="0" fillId="8" borderId="0" xfId="0" applyNumberFormat="1" applyFill="1" applyBorder="1" applyAlignment="1">
      <alignment horizontal="right"/>
    </xf>
    <xf numFmtId="165" fontId="0" fillId="8" borderId="0" xfId="0" applyNumberFormat="1" applyFont="1" applyFill="1" applyBorder="1" applyAlignment="1">
      <alignment horizontal="right" vertical="center"/>
    </xf>
    <xf numFmtId="0" fontId="0" fillId="8" borderId="0" xfId="0" applyFont="1" applyFill="1" applyBorder="1" applyAlignment="1">
      <alignment horizontal="right" vertical="center"/>
    </xf>
    <xf numFmtId="1" fontId="0" fillId="8" borderId="0" xfId="0" applyNumberFormat="1" applyFill="1" applyBorder="1" applyAlignment="1">
      <alignment horizontal="right"/>
    </xf>
    <xf numFmtId="44" fontId="0" fillId="8" borderId="0" xfId="0" applyNumberFormat="1" applyFont="1" applyFill="1" applyBorder="1" applyAlignment="1">
      <alignment horizontal="right" vertical="center"/>
    </xf>
    <xf numFmtId="0" fontId="3" fillId="8" borderId="0" xfId="1" applyFill="1" applyBorder="1" applyAlignment="1">
      <alignment horizontal="left" vertical="center"/>
    </xf>
    <xf numFmtId="165" fontId="0" fillId="8" borderId="0" xfId="0" applyNumberFormat="1" applyFont="1" applyFill="1" applyBorder="1" applyAlignment="1">
      <alignment horizontal="right" vertical="center" readingOrder="1"/>
    </xf>
    <xf numFmtId="1" fontId="0" fillId="8" borderId="0" xfId="0" applyNumberFormat="1" applyFont="1" applyFill="1" applyBorder="1" applyAlignment="1">
      <alignment horizontal="right" vertical="center"/>
    </xf>
    <xf numFmtId="0" fontId="0" fillId="3" borderId="0" xfId="0" applyNumberFormat="1" applyFont="1" applyFill="1" applyBorder="1" applyAlignment="1">
      <alignment horizontal="right" vertical="center"/>
    </xf>
    <xf numFmtId="165" fontId="0" fillId="3" borderId="0" xfId="0" applyNumberFormat="1" applyFont="1" applyFill="1" applyBorder="1" applyAlignment="1">
      <alignment horizontal="right" vertical="center" readingOrder="1"/>
    </xf>
    <xf numFmtId="165" fontId="0" fillId="3" borderId="0" xfId="0" applyNumberFormat="1" applyFont="1" applyFill="1" applyBorder="1" applyAlignment="1">
      <alignment horizontal="right" vertical="center"/>
    </xf>
    <xf numFmtId="0" fontId="0" fillId="3" borderId="0" xfId="0" applyFont="1" applyFill="1" applyBorder="1" applyAlignment="1">
      <alignment horizontal="right" vertical="center"/>
    </xf>
    <xf numFmtId="1" fontId="0" fillId="3" borderId="0" xfId="0" applyNumberFormat="1" applyFont="1" applyFill="1" applyBorder="1" applyAlignment="1">
      <alignment horizontal="right" vertical="center"/>
    </xf>
    <xf numFmtId="44" fontId="0" fillId="3" borderId="0" xfId="0" applyNumberFormat="1" applyFont="1" applyFill="1" applyBorder="1" applyAlignment="1">
      <alignment horizontal="right" vertical="center"/>
    </xf>
    <xf numFmtId="0" fontId="3" fillId="3" borderId="0" xfId="1" applyFill="1" applyBorder="1" applyAlignment="1">
      <alignment horizontal="left" vertical="center"/>
    </xf>
    <xf numFmtId="0" fontId="0" fillId="3" borderId="3" xfId="0" applyFill="1" applyBorder="1" applyAlignment="1">
      <alignment horizontal="center" vertical="center"/>
    </xf>
    <xf numFmtId="0" fontId="0" fillId="3" borderId="3" xfId="0" applyFont="1" applyFill="1" applyBorder="1" applyAlignment="1">
      <alignment horizontal="left" vertical="center"/>
    </xf>
    <xf numFmtId="0" fontId="2" fillId="3" borderId="3" xfId="0" applyFont="1" applyFill="1" applyBorder="1" applyAlignment="1">
      <alignment horizontal="left" vertical="center" wrapText="1"/>
    </xf>
    <xf numFmtId="0" fontId="0" fillId="3" borderId="3" xfId="0" applyFont="1" applyFill="1" applyBorder="1" applyAlignment="1">
      <alignment horizontal="center" vertical="center" readingOrder="1"/>
    </xf>
    <xf numFmtId="1" fontId="0" fillId="3" borderId="3" xfId="0" applyNumberFormat="1" applyFont="1" applyFill="1" applyBorder="1" applyAlignment="1">
      <alignment horizontal="center" vertical="center"/>
    </xf>
    <xf numFmtId="44" fontId="0" fillId="3" borderId="3" xfId="0" applyNumberFormat="1" applyFont="1" applyFill="1" applyBorder="1" applyAlignment="1">
      <alignment horizontal="left" vertical="center"/>
    </xf>
    <xf numFmtId="0" fontId="3" fillId="3" borderId="3" xfId="1" applyFont="1" applyFill="1" applyBorder="1" applyAlignment="1">
      <alignment horizontal="left" vertical="center"/>
    </xf>
    <xf numFmtId="0" fontId="2" fillId="8" borderId="3" xfId="0" applyFont="1" applyFill="1" applyBorder="1" applyAlignment="1">
      <alignment horizontal="left" vertical="center" wrapText="1"/>
    </xf>
    <xf numFmtId="0" fontId="0" fillId="8" borderId="3" xfId="0" applyNumberFormat="1" applyFont="1" applyFill="1" applyBorder="1" applyAlignment="1">
      <alignment horizontal="center" vertical="center"/>
    </xf>
    <xf numFmtId="44" fontId="0" fillId="8" borderId="3" xfId="0" applyNumberFormat="1" applyFont="1" applyFill="1" applyBorder="1" applyAlignment="1">
      <alignment horizontal="left" vertical="center"/>
    </xf>
    <xf numFmtId="0" fontId="3" fillId="8" borderId="3" xfId="1" applyFont="1" applyFill="1" applyBorder="1" applyAlignment="1">
      <alignment horizontal="left" vertical="center"/>
    </xf>
    <xf numFmtId="1" fontId="0" fillId="8" borderId="3" xfId="0" applyNumberFormat="1" applyFill="1" applyBorder="1" applyAlignment="1">
      <alignment horizontal="left"/>
    </xf>
    <xf numFmtId="1" fontId="0" fillId="8" borderId="3" xfId="0" applyNumberFormat="1" applyFill="1" applyBorder="1" applyAlignment="1">
      <alignment horizontal="center"/>
    </xf>
    <xf numFmtId="0" fontId="0" fillId="8" borderId="0" xfId="0" applyFont="1" applyFill="1" applyBorder="1" applyAlignment="1">
      <alignment horizontal="left" vertical="center"/>
    </xf>
    <xf numFmtId="0" fontId="2" fillId="8" borderId="0" xfId="0" applyFont="1" applyFill="1" applyBorder="1" applyAlignment="1">
      <alignment horizontal="left" vertical="center" wrapText="1"/>
    </xf>
    <xf numFmtId="0" fontId="0" fillId="8" borderId="0" xfId="0" applyFont="1" applyFill="1" applyBorder="1" applyAlignment="1">
      <alignment vertical="center" readingOrder="1"/>
    </xf>
    <xf numFmtId="2" fontId="0" fillId="8" borderId="0" xfId="0" applyNumberFormat="1" applyFont="1" applyFill="1" applyBorder="1" applyAlignment="1">
      <alignment vertical="center"/>
    </xf>
    <xf numFmtId="164" fontId="0" fillId="8" borderId="0" xfId="0" applyNumberFormat="1" applyFont="1" applyFill="1" applyBorder="1" applyAlignment="1">
      <alignment vertical="center"/>
    </xf>
    <xf numFmtId="44" fontId="0" fillId="8" borderId="0" xfId="0" applyNumberFormat="1" applyFont="1" applyFill="1" applyBorder="1" applyAlignment="1">
      <alignment vertical="center"/>
    </xf>
    <xf numFmtId="49" fontId="0" fillId="8" borderId="0" xfId="0" applyNumberFormat="1" applyFont="1" applyFill="1" applyBorder="1" applyAlignment="1">
      <alignment horizontal="right" vertical="center"/>
    </xf>
    <xf numFmtId="1" fontId="0" fillId="5" borderId="0" xfId="0" applyNumberFormat="1" applyFont="1" applyFill="1" applyBorder="1" applyAlignment="1">
      <alignment vertical="center"/>
    </xf>
    <xf numFmtId="0" fontId="0" fillId="5" borderId="0" xfId="0" applyFill="1"/>
    <xf numFmtId="168" fontId="15" fillId="2" borderId="5" xfId="10" applyNumberFormat="1" applyFont="1" applyFill="1" applyBorder="1" applyAlignment="1">
      <alignment horizontal="right" vertical="center"/>
    </xf>
    <xf numFmtId="168" fontId="13" fillId="0" borderId="0" xfId="0" applyNumberFormat="1" applyFont="1" applyAlignment="1">
      <alignment vertical="center"/>
    </xf>
    <xf numFmtId="168" fontId="11" fillId="2" borderId="3" xfId="0" applyNumberFormat="1" applyFont="1" applyFill="1" applyBorder="1" applyAlignment="1">
      <alignment horizontal="right" vertical="center"/>
    </xf>
    <xf numFmtId="0" fontId="2" fillId="9" borderId="3" xfId="0" applyFont="1" applyFill="1" applyBorder="1" applyAlignment="1">
      <alignment horizontal="left" vertical="center" wrapText="1"/>
    </xf>
    <xf numFmtId="0" fontId="12" fillId="0" borderId="0" xfId="0" applyFont="1" applyAlignment="1">
      <alignment horizontal="right"/>
    </xf>
    <xf numFmtId="168" fontId="12" fillId="0" borderId="0" xfId="10" applyNumberFormat="1" applyFont="1" applyAlignment="1">
      <alignment horizontal="right" vertical="center"/>
    </xf>
    <xf numFmtId="0" fontId="13" fillId="3" borderId="3" xfId="0" applyFont="1" applyFill="1" applyBorder="1" applyAlignment="1">
      <alignment vertical="center"/>
    </xf>
    <xf numFmtId="164" fontId="4" fillId="0" borderId="0" xfId="0" applyNumberFormat="1" applyFont="1" applyAlignment="1"/>
    <xf numFmtId="164" fontId="4" fillId="0" borderId="0" xfId="0" applyNumberFormat="1" applyFont="1" applyAlignment="1">
      <alignment vertical="center"/>
    </xf>
    <xf numFmtId="164" fontId="4" fillId="0" borderId="0" xfId="0" applyNumberFormat="1" applyFont="1" applyBorder="1" applyAlignment="1">
      <alignment vertical="center"/>
    </xf>
    <xf numFmtId="0" fontId="13" fillId="10" borderId="3" xfId="0" applyFont="1" applyFill="1" applyBorder="1" applyAlignment="1">
      <alignment horizontal="center" vertical="center"/>
    </xf>
    <xf numFmtId="0" fontId="13" fillId="10" borderId="3" xfId="0" applyFont="1" applyFill="1" applyBorder="1" applyAlignment="1">
      <alignment horizontal="left" vertical="center"/>
    </xf>
    <xf numFmtId="0" fontId="13" fillId="10" borderId="3" xfId="0" applyFont="1" applyFill="1" applyBorder="1" applyAlignment="1">
      <alignment vertical="center"/>
    </xf>
    <xf numFmtId="0" fontId="13" fillId="10" borderId="3" xfId="0" applyFont="1" applyFill="1" applyBorder="1" applyAlignment="1">
      <alignment horizontal="right" vertical="center"/>
    </xf>
    <xf numFmtId="0" fontId="13" fillId="10" borderId="5" xfId="0" applyFont="1" applyFill="1" applyBorder="1" applyAlignment="1">
      <alignment horizontal="left" vertical="center"/>
    </xf>
    <xf numFmtId="0" fontId="13" fillId="10" borderId="5" xfId="0" applyFont="1" applyFill="1" applyBorder="1" applyAlignment="1">
      <alignment vertical="center"/>
    </xf>
    <xf numFmtId="0" fontId="13" fillId="10" borderId="5" xfId="0" applyFont="1" applyFill="1" applyBorder="1" applyAlignment="1">
      <alignment horizontal="right" vertical="center"/>
    </xf>
    <xf numFmtId="0" fontId="13" fillId="3" borderId="3" xfId="0" applyFont="1" applyFill="1" applyBorder="1" applyAlignment="1">
      <alignment horizontal="center" vertical="center"/>
    </xf>
    <xf numFmtId="0" fontId="13" fillId="3" borderId="3" xfId="0" applyFont="1" applyFill="1" applyBorder="1" applyAlignment="1">
      <alignment horizontal="left" vertical="center"/>
    </xf>
    <xf numFmtId="0" fontId="13" fillId="3" borderId="3" xfId="0" applyFont="1" applyFill="1" applyBorder="1" applyAlignment="1">
      <alignment horizontal="right" vertical="center"/>
    </xf>
    <xf numFmtId="0" fontId="13" fillId="3" borderId="5" xfId="0" applyFont="1" applyFill="1" applyBorder="1" applyAlignment="1">
      <alignment horizontal="center" vertical="center"/>
    </xf>
    <xf numFmtId="0" fontId="13" fillId="3" borderId="5" xfId="0" applyFont="1" applyFill="1" applyBorder="1" applyAlignment="1">
      <alignment horizontal="left" vertical="center"/>
    </xf>
    <xf numFmtId="0" fontId="13" fillId="3" borderId="5" xfId="0" applyFont="1" applyFill="1" applyBorder="1" applyAlignment="1">
      <alignment vertical="center"/>
    </xf>
    <xf numFmtId="0" fontId="13" fillId="3" borderId="5" xfId="0" applyFont="1" applyFill="1" applyBorder="1" applyAlignment="1">
      <alignment horizontal="right" vertical="center"/>
    </xf>
    <xf numFmtId="168" fontId="13" fillId="10" borderId="3" xfId="0" applyNumberFormat="1" applyFont="1" applyFill="1" applyBorder="1" applyAlignment="1">
      <alignment horizontal="right" vertical="center"/>
    </xf>
    <xf numFmtId="168" fontId="13" fillId="10" borderId="5" xfId="0" applyNumberFormat="1" applyFont="1" applyFill="1" applyBorder="1" applyAlignment="1">
      <alignment horizontal="right" vertical="center"/>
    </xf>
    <xf numFmtId="168" fontId="13" fillId="3" borderId="3" xfId="0" applyNumberFormat="1" applyFont="1" applyFill="1" applyBorder="1" applyAlignment="1">
      <alignment horizontal="right" vertical="center"/>
    </xf>
    <xf numFmtId="168" fontId="13" fillId="3" borderId="5" xfId="0" applyNumberFormat="1" applyFont="1" applyFill="1" applyBorder="1" applyAlignment="1">
      <alignment horizontal="right" vertical="center"/>
    </xf>
    <xf numFmtId="0" fontId="13" fillId="11" borderId="5" xfId="0" applyFont="1" applyFill="1" applyBorder="1" applyAlignment="1">
      <alignment vertical="center"/>
    </xf>
    <xf numFmtId="0" fontId="13" fillId="11" borderId="3" xfId="0" applyFont="1" applyFill="1" applyBorder="1" applyAlignment="1">
      <alignment vertical="center"/>
    </xf>
    <xf numFmtId="0" fontId="12" fillId="11" borderId="0" xfId="0" applyFont="1" applyFill="1" applyAlignment="1">
      <alignment vertical="center"/>
    </xf>
    <xf numFmtId="14" fontId="0" fillId="0" borderId="0" xfId="0" applyNumberFormat="1"/>
    <xf numFmtId="166" fontId="0" fillId="0" borderId="0" xfId="0" applyNumberFormat="1"/>
    <xf numFmtId="169" fontId="12" fillId="0" borderId="0" xfId="0" applyNumberFormat="1" applyFont="1" applyAlignment="1">
      <alignment horizontal="right"/>
    </xf>
    <xf numFmtId="170" fontId="0" fillId="0" borderId="3" xfId="0" applyNumberFormat="1" applyFont="1" applyBorder="1" applyAlignment="1">
      <alignment horizontal="right" vertical="center"/>
    </xf>
    <xf numFmtId="2" fontId="0" fillId="0" borderId="3" xfId="0" applyNumberFormat="1" applyFont="1" applyBorder="1" applyAlignment="1">
      <alignment horizontal="right" vertical="center"/>
    </xf>
    <xf numFmtId="49" fontId="0" fillId="12" borderId="3" xfId="0" applyNumberFormat="1" applyFont="1" applyFill="1" applyBorder="1" applyAlignment="1">
      <alignment horizontal="right" vertical="center"/>
    </xf>
    <xf numFmtId="0" fontId="0" fillId="12" borderId="0" xfId="0" applyFill="1"/>
    <xf numFmtId="1" fontId="0" fillId="13" borderId="3" xfId="0" applyNumberFormat="1" applyFont="1" applyFill="1" applyBorder="1" applyAlignment="1">
      <alignment horizontal="center" vertical="center"/>
    </xf>
    <xf numFmtId="0" fontId="0" fillId="13" borderId="0" xfId="0" applyFill="1"/>
    <xf numFmtId="0" fontId="3" fillId="8" borderId="3" xfId="1" applyFill="1" applyBorder="1" applyAlignment="1">
      <alignment horizontal="left" vertical="center" readingOrder="1"/>
    </xf>
    <xf numFmtId="0" fontId="0" fillId="12" borderId="3" xfId="0" applyFont="1" applyFill="1" applyBorder="1" applyAlignment="1">
      <alignment horizontal="left" vertical="center"/>
    </xf>
    <xf numFmtId="0" fontId="2" fillId="14" borderId="3" xfId="0" applyFont="1" applyFill="1" applyBorder="1" applyAlignment="1">
      <alignment horizontal="left" vertical="center" wrapText="1"/>
    </xf>
    <xf numFmtId="0" fontId="2" fillId="12" borderId="3" xfId="0" applyFont="1" applyFill="1" applyBorder="1" applyAlignment="1">
      <alignment horizontal="left" vertical="center" wrapText="1"/>
    </xf>
    <xf numFmtId="44" fontId="0" fillId="13" borderId="3" xfId="0" applyNumberFormat="1" applyFont="1" applyFill="1" applyBorder="1" applyAlignment="1">
      <alignment horizontal="center" vertical="center"/>
    </xf>
    <xf numFmtId="0" fontId="0" fillId="8" borderId="3" xfId="0" applyNumberFormat="1" applyFont="1" applyFill="1" applyBorder="1" applyAlignment="1">
      <alignment horizontal="right" vertical="center"/>
    </xf>
    <xf numFmtId="0" fontId="0" fillId="8" borderId="3" xfId="0" applyFont="1" applyFill="1" applyBorder="1" applyAlignment="1">
      <alignment horizontal="right" vertical="center" readingOrder="1"/>
    </xf>
    <xf numFmtId="44" fontId="0" fillId="8" borderId="3" xfId="0" applyNumberFormat="1" applyFont="1" applyFill="1" applyBorder="1" applyAlignment="1">
      <alignment horizontal="right" vertical="center"/>
    </xf>
    <xf numFmtId="2" fontId="0" fillId="8" borderId="3" xfId="0" applyNumberFormat="1" applyFont="1" applyFill="1" applyBorder="1" applyAlignment="1">
      <alignment horizontal="right" vertical="center"/>
    </xf>
    <xf numFmtId="170" fontId="0" fillId="9" borderId="3" xfId="0" applyNumberFormat="1" applyFont="1" applyFill="1" applyBorder="1" applyAlignment="1">
      <alignment horizontal="right" vertical="center"/>
    </xf>
    <xf numFmtId="49" fontId="0" fillId="8" borderId="0" xfId="0" applyNumberFormat="1" applyFont="1" applyFill="1" applyBorder="1" applyAlignment="1">
      <alignment horizontal="right" vertical="center" readingOrder="1"/>
    </xf>
    <xf numFmtId="166" fontId="0" fillId="8" borderId="0" xfId="0" applyNumberFormat="1" applyFont="1" applyFill="1" applyBorder="1" applyAlignment="1">
      <alignment horizontal="right" vertical="center"/>
    </xf>
    <xf numFmtId="165" fontId="3" fillId="8" borderId="0" xfId="1" applyNumberFormat="1" applyFill="1" applyBorder="1" applyAlignment="1">
      <alignment horizontal="left" vertical="center"/>
    </xf>
    <xf numFmtId="0" fontId="4" fillId="8" borderId="0" xfId="0" applyFont="1" applyFill="1"/>
    <xf numFmtId="165" fontId="0" fillId="8" borderId="0" xfId="0" applyNumberFormat="1" applyFont="1" applyFill="1" applyBorder="1" applyAlignment="1">
      <alignment horizontal="left" vertical="center"/>
    </xf>
    <xf numFmtId="1" fontId="0" fillId="9" borderId="0" xfId="0" applyNumberFormat="1" applyFont="1" applyFill="1" applyBorder="1" applyAlignment="1">
      <alignment horizontal="right" vertical="center"/>
    </xf>
    <xf numFmtId="1" fontId="1" fillId="2" borderId="3" xfId="0" applyNumberFormat="1" applyFont="1" applyFill="1" applyBorder="1" applyAlignment="1">
      <alignment horizontal="right" textRotation="45" readingOrder="1"/>
    </xf>
    <xf numFmtId="1" fontId="1" fillId="2" borderId="6" xfId="0" applyNumberFormat="1" applyFont="1" applyFill="1" applyBorder="1" applyAlignment="1">
      <alignment horizontal="center" textRotation="45" readingOrder="1"/>
    </xf>
    <xf numFmtId="1" fontId="1" fillId="2" borderId="3" xfId="0" applyNumberFormat="1" applyFont="1" applyFill="1" applyBorder="1" applyAlignment="1">
      <alignment horizontal="center" textRotation="45" readingOrder="1"/>
    </xf>
    <xf numFmtId="0" fontId="0" fillId="8" borderId="3" xfId="0" applyFont="1" applyFill="1" applyBorder="1" applyAlignment="1">
      <alignment vertical="center"/>
    </xf>
    <xf numFmtId="0" fontId="2" fillId="8" borderId="3" xfId="0" applyFont="1" applyFill="1" applyBorder="1" applyAlignment="1">
      <alignment horizontal="center" vertical="center" wrapText="1"/>
    </xf>
    <xf numFmtId="0" fontId="0" fillId="8" borderId="3" xfId="0" applyFont="1" applyFill="1" applyBorder="1" applyAlignment="1">
      <alignment horizontal="center" vertical="center"/>
    </xf>
    <xf numFmtId="2" fontId="0" fillId="8" borderId="3" xfId="0" applyNumberFormat="1" applyFont="1" applyFill="1" applyBorder="1" applyAlignment="1">
      <alignment horizontal="center" vertical="center"/>
    </xf>
    <xf numFmtId="0" fontId="0" fillId="14" borderId="0" xfId="0" applyFill="1"/>
    <xf numFmtId="0" fontId="0" fillId="6" borderId="3" xfId="0" applyFont="1" applyFill="1" applyBorder="1" applyAlignment="1">
      <alignment horizontal="center" vertical="center"/>
    </xf>
    <xf numFmtId="0" fontId="2" fillId="15" borderId="0" xfId="0" applyFont="1" applyFill="1"/>
    <xf numFmtId="166" fontId="0" fillId="8" borderId="3" xfId="0" applyNumberFormat="1" applyFont="1" applyFill="1" applyBorder="1" applyAlignment="1">
      <alignment horizontal="center" vertical="center"/>
    </xf>
    <xf numFmtId="0" fontId="0" fillId="3" borderId="3" xfId="0" applyFont="1" applyFill="1" applyBorder="1" applyAlignment="1">
      <alignment horizontal="center" vertical="center"/>
    </xf>
    <xf numFmtId="0" fontId="2" fillId="3" borderId="3" xfId="0" applyFont="1" applyFill="1" applyBorder="1" applyAlignment="1">
      <alignment horizontal="center" vertical="center" wrapText="1"/>
    </xf>
    <xf numFmtId="49" fontId="0" fillId="3" borderId="3" xfId="0" applyNumberFormat="1" applyFont="1" applyFill="1" applyBorder="1" applyAlignment="1">
      <alignment horizontal="center" vertical="center"/>
    </xf>
    <xf numFmtId="0" fontId="0" fillId="3" borderId="3" xfId="0" applyFill="1" applyBorder="1" applyAlignment="1">
      <alignment horizontal="center"/>
    </xf>
    <xf numFmtId="1" fontId="0" fillId="3" borderId="3" xfId="0" applyNumberFormat="1" applyFill="1" applyBorder="1" applyAlignment="1">
      <alignment horizontal="center"/>
    </xf>
    <xf numFmtId="166" fontId="0" fillId="3" borderId="3" xfId="0" applyNumberFormat="1" applyFill="1" applyBorder="1" applyAlignment="1">
      <alignment horizontal="center"/>
    </xf>
    <xf numFmtId="44" fontId="0" fillId="3" borderId="3" xfId="0" applyNumberFormat="1" applyFont="1" applyFill="1" applyBorder="1" applyAlignment="1">
      <alignment horizontal="center" vertical="center"/>
    </xf>
    <xf numFmtId="0" fontId="3" fillId="3" borderId="3" xfId="1" applyFill="1" applyBorder="1" applyAlignment="1">
      <alignment horizontal="left" vertical="center"/>
    </xf>
    <xf numFmtId="1" fontId="0" fillId="16" borderId="3" xfId="0" applyNumberFormat="1" applyFont="1" applyFill="1" applyBorder="1" applyAlignment="1">
      <alignment horizontal="right" vertical="center" readingOrder="1"/>
    </xf>
    <xf numFmtId="0" fontId="0" fillId="16" borderId="0" xfId="0" applyFill="1"/>
    <xf numFmtId="165" fontId="0" fillId="17" borderId="3" xfId="0" applyNumberFormat="1" applyFont="1" applyFill="1" applyBorder="1" applyAlignment="1">
      <alignment horizontal="center" vertical="center"/>
    </xf>
    <xf numFmtId="0" fontId="0" fillId="17" borderId="0" xfId="0" applyFill="1"/>
    <xf numFmtId="49" fontId="0" fillId="3" borderId="3" xfId="0" applyNumberFormat="1" applyFont="1" applyFill="1" applyBorder="1" applyAlignment="1">
      <alignment horizontal="right" vertical="center"/>
    </xf>
    <xf numFmtId="1" fontId="0" fillId="3" borderId="3" xfId="0" applyNumberFormat="1" applyFont="1" applyFill="1" applyBorder="1" applyAlignment="1">
      <alignment horizontal="right" vertical="center" readingOrder="1"/>
    </xf>
    <xf numFmtId="0" fontId="0" fillId="3" borderId="3" xfId="0" applyFont="1" applyFill="1" applyBorder="1" applyAlignment="1">
      <alignment horizontal="right" vertical="center"/>
    </xf>
    <xf numFmtId="165" fontId="0" fillId="3" borderId="3" xfId="0" applyNumberFormat="1" applyFill="1" applyBorder="1" applyAlignment="1">
      <alignment horizontal="right"/>
    </xf>
    <xf numFmtId="165" fontId="0" fillId="3" borderId="3" xfId="0" applyNumberFormat="1" applyFont="1" applyFill="1" applyBorder="1" applyAlignment="1">
      <alignment horizontal="left" vertical="center"/>
    </xf>
    <xf numFmtId="1" fontId="0" fillId="3" borderId="3" xfId="0" applyNumberFormat="1" applyFont="1" applyFill="1" applyBorder="1" applyAlignment="1">
      <alignment horizontal="left" vertical="center"/>
    </xf>
    <xf numFmtId="1" fontId="0" fillId="3" borderId="3" xfId="0" applyNumberFormat="1" applyFont="1" applyFill="1" applyBorder="1" applyAlignment="1">
      <alignment horizontal="right" vertical="center"/>
    </xf>
    <xf numFmtId="0" fontId="3" fillId="3" borderId="3" xfId="1" applyFill="1" applyBorder="1" applyAlignment="1">
      <alignment horizontal="left" vertical="center" wrapText="1"/>
    </xf>
    <xf numFmtId="0" fontId="13" fillId="18" borderId="3" xfId="0" applyFont="1" applyFill="1" applyBorder="1" applyAlignment="1">
      <alignment vertical="center"/>
    </xf>
    <xf numFmtId="0" fontId="12" fillId="18" borderId="0" xfId="0" applyFont="1" applyFill="1" applyAlignment="1">
      <alignment vertical="center"/>
    </xf>
    <xf numFmtId="0" fontId="3" fillId="3" borderId="3" xfId="1" applyFill="1" applyBorder="1" applyAlignment="1">
      <alignment horizontal="left" vertical="center" readingOrder="1"/>
    </xf>
    <xf numFmtId="0" fontId="3" fillId="8" borderId="3" xfId="1" applyFill="1" applyBorder="1" applyAlignment="1">
      <alignment horizontal="left" readingOrder="1"/>
    </xf>
    <xf numFmtId="0" fontId="0" fillId="19" borderId="3" xfId="0" applyFont="1" applyFill="1" applyBorder="1" applyAlignment="1">
      <alignment horizontal="left" vertical="center"/>
    </xf>
    <xf numFmtId="0" fontId="0" fillId="19" borderId="0" xfId="0" applyFill="1"/>
    <xf numFmtId="0" fontId="0" fillId="20" borderId="3" xfId="0" applyFont="1" applyFill="1" applyBorder="1" applyAlignment="1">
      <alignment horizontal="left" vertical="center"/>
    </xf>
    <xf numFmtId="0" fontId="0" fillId="20" borderId="0" xfId="0" applyFill="1"/>
    <xf numFmtId="0" fontId="17" fillId="19" borderId="0" xfId="0" applyFont="1" applyFill="1"/>
    <xf numFmtId="22" fontId="12" fillId="0" borderId="0" xfId="0" applyNumberFormat="1" applyFont="1"/>
    <xf numFmtId="49" fontId="16" fillId="0" borderId="0" xfId="0" applyNumberFormat="1" applyFont="1" applyFill="1" applyBorder="1" applyAlignment="1">
      <alignment horizontal="right" vertical="center"/>
    </xf>
    <xf numFmtId="49" fontId="16" fillId="8" borderId="0" xfId="0" applyNumberFormat="1" applyFont="1" applyFill="1" applyBorder="1" applyAlignment="1">
      <alignment horizontal="right" vertical="center"/>
    </xf>
    <xf numFmtId="0" fontId="0" fillId="20" borderId="0" xfId="0" applyFont="1" applyFill="1" applyBorder="1" applyAlignment="1">
      <alignment vertical="center"/>
    </xf>
    <xf numFmtId="2" fontId="0" fillId="8" borderId="0" xfId="0" applyNumberFormat="1" applyFont="1" applyFill="1" applyBorder="1" applyAlignment="1">
      <alignment horizontal="right" vertical="center"/>
    </xf>
    <xf numFmtId="49" fontId="0" fillId="8" borderId="0" xfId="0" applyNumberFormat="1" applyFill="1" applyBorder="1" applyAlignment="1">
      <alignment horizontal="right"/>
    </xf>
    <xf numFmtId="0" fontId="0" fillId="8" borderId="0" xfId="0" applyFill="1" applyBorder="1" applyAlignment="1">
      <alignment horizontal="right"/>
    </xf>
    <xf numFmtId="166" fontId="0" fillId="8" borderId="0" xfId="0" applyNumberFormat="1" applyFill="1" applyBorder="1" applyAlignment="1">
      <alignment horizontal="right"/>
    </xf>
    <xf numFmtId="0" fontId="3" fillId="8" borderId="0" xfId="1" applyFill="1" applyBorder="1" applyAlignment="1">
      <alignment horizontal="left"/>
    </xf>
    <xf numFmtId="22" fontId="13" fillId="0" borderId="0" xfId="0" applyNumberFormat="1" applyFont="1" applyBorder="1" applyAlignment="1">
      <alignment horizontal="center" vertical="center"/>
    </xf>
    <xf numFmtId="22" fontId="0" fillId="0" borderId="4" xfId="0" applyNumberFormat="1" applyBorder="1" applyAlignment="1">
      <alignment horizontal="center"/>
    </xf>
    <xf numFmtId="0" fontId="0" fillId="14" borderId="0" xfId="0" applyFont="1" applyFill="1" applyBorder="1" applyAlignment="1">
      <alignment horizontal="left" vertical="center"/>
    </xf>
    <xf numFmtId="170" fontId="0" fillId="8" borderId="3" xfId="0" applyNumberFormat="1" applyFont="1" applyFill="1" applyBorder="1" applyAlignment="1">
      <alignment horizontal="right" vertical="center"/>
    </xf>
    <xf numFmtId="2" fontId="0" fillId="14" borderId="3" xfId="0" applyNumberFormat="1" applyFont="1" applyFill="1" applyBorder="1" applyAlignment="1">
      <alignment horizontal="right" vertical="center"/>
    </xf>
    <xf numFmtId="44" fontId="0" fillId="0" borderId="3" xfId="0" applyNumberFormat="1" applyFont="1" applyFill="1" applyBorder="1" applyAlignment="1">
      <alignment horizontal="center" vertical="center"/>
    </xf>
    <xf numFmtId="0" fontId="0" fillId="13" borderId="0" xfId="0" applyFont="1" applyFill="1" applyBorder="1" applyAlignment="1">
      <alignment vertical="center"/>
    </xf>
    <xf numFmtId="166" fontId="11" fillId="2" borderId="3" xfId="0" applyNumberFormat="1" applyFont="1" applyFill="1" applyBorder="1" applyAlignment="1">
      <alignment horizontal="left" vertical="center"/>
    </xf>
    <xf numFmtId="0" fontId="0" fillId="21" borderId="0" xfId="0" applyFill="1"/>
    <xf numFmtId="0" fontId="0" fillId="21" borderId="0" xfId="0" applyNumberFormat="1" applyFill="1"/>
    <xf numFmtId="0" fontId="0" fillId="22" borderId="0" xfId="0" applyFill="1"/>
  </cellXfs>
  <cellStyles count="25">
    <cellStyle name="Comma" xfId="10" builtinId="3"/>
    <cellStyle name="Followed Hyperlink" xfId="2" builtinId="9" hidden="1"/>
    <cellStyle name="Followed Hyperlink" xfId="3" builtinId="9" hidden="1"/>
    <cellStyle name="Followed Hyperlink" xfId="4" builtinId="9" hidden="1"/>
    <cellStyle name="Followed Hyperlink" xfId="5" builtinId="9" hidden="1"/>
    <cellStyle name="Followed Hyperlink" xfId="6" builtinId="9" hidden="1"/>
    <cellStyle name="Followed Hyperlink" xfId="7" builtinId="9" hidden="1"/>
    <cellStyle name="Followed Hyperlink" xfId="8" builtinId="9" hidden="1"/>
    <cellStyle name="Followed Hyperlink" xfId="9" builtinId="9" hidden="1"/>
    <cellStyle name="Followed Hyperlink" xfId="11" builtinId="9" hidden="1"/>
    <cellStyle name="Followed Hyperlink" xfId="12" builtinId="9" hidden="1"/>
    <cellStyle name="Followed Hyperlink" xfId="13" builtinId="9" hidden="1"/>
    <cellStyle name="Followed Hyperlink" xfId="14" builtinId="9" hidden="1"/>
    <cellStyle name="Followed Hyperlink" xfId="15" builtinId="9" hidden="1"/>
    <cellStyle name="Followed Hyperlink" xfId="16" builtinId="9" hidden="1"/>
    <cellStyle name="Followed Hyperlink" xfId="17" builtinId="9" hidden="1"/>
    <cellStyle name="Followed Hyperlink" xfId="18" builtinId="9" hidden="1"/>
    <cellStyle name="Followed Hyperlink" xfId="19" builtinId="9" hidden="1"/>
    <cellStyle name="Followed Hyperlink" xfId="20" builtinId="9" hidden="1"/>
    <cellStyle name="Followed Hyperlink" xfId="21" builtinId="9" hidden="1"/>
    <cellStyle name="Followed Hyperlink" xfId="22" builtinId="9" hidden="1"/>
    <cellStyle name="Followed Hyperlink" xfId="23" builtinId="9" hidden="1"/>
    <cellStyle name="Followed Hyperlink" xfId="24" builtinId="9" hidden="1"/>
    <cellStyle name="Hyperlink" xfId="1" builtinId="8"/>
    <cellStyle name="Normal" xfId="0" builtinId="0"/>
  </cellStyles>
  <dxfs count="0"/>
  <tableStyles count="0" defaultTableStyle="TableStyleMedium2" defaultPivotStyle="PivotStyleLight16"/>
  <colors>
    <mruColors>
      <color rgb="FFFF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8" Type="http://schemas.openxmlformats.org/officeDocument/2006/relationships/hyperlink" Target="http://www.coptersquad.com/en/carboncore-multicopter-h950-carboncore-hexacopter.html" TargetMode="External"/><Relationship Id="rId13" Type="http://schemas.openxmlformats.org/officeDocument/2006/relationships/hyperlink" Target="http://hobby-wing.com/hobby-wing-arris-4-6-rotor-multicopter-frame.html" TargetMode="External"/><Relationship Id="rId18" Type="http://schemas.openxmlformats.org/officeDocument/2006/relationships/hyperlink" Target="http://www.myrcmodel.com/index.php?main_page=product_info&amp;cPath=205&amp;products_id=3540&amp;zenid=u1u8ikn71qqvutjb047o350ta3" TargetMode="External"/><Relationship Id="rId3" Type="http://schemas.openxmlformats.org/officeDocument/2006/relationships/hyperlink" Target="http://www.dji.com/product/spreading-wings-s800-evo" TargetMode="External"/><Relationship Id="rId21" Type="http://schemas.openxmlformats.org/officeDocument/2006/relationships/hyperlink" Target="http://shop.carboncore.co.uk/" TargetMode="External"/><Relationship Id="rId7" Type="http://schemas.openxmlformats.org/officeDocument/2006/relationships/hyperlink" Target="http://aeronavics.com/products/shop/xm-airframe-kits/airframe-xm-6-ti-qr/" TargetMode="External"/><Relationship Id="rId12" Type="http://schemas.openxmlformats.org/officeDocument/2006/relationships/hyperlink" Target="http://hobby-wing.com/arris-m1050-foldable-quadcopter-frame.html" TargetMode="External"/><Relationship Id="rId17" Type="http://schemas.openxmlformats.org/officeDocument/2006/relationships/hyperlink" Target="http://www.myrcmodel.com/index.php?main_page=product_info&amp;cPath=205&amp;products_id=4086&amp;zenid=u1u8ikn71qqvutjb047o350ta3" TargetMode="External"/><Relationship Id="rId2" Type="http://schemas.openxmlformats.org/officeDocument/2006/relationships/hyperlink" Target="http://aeronavics.com/products/shop/skyjib-airframe-kits/airframe-skyjib-8-ti-qr/" TargetMode="External"/><Relationship Id="rId16" Type="http://schemas.openxmlformats.org/officeDocument/2006/relationships/hyperlink" Target="http://www.myrcmodel.com/index.php?main_page=product_info&amp;cPath=205&amp;products_id=3838&amp;zenid=u1u8ikn71qqvutjb047o350ta3" TargetMode="External"/><Relationship Id="rId20" Type="http://schemas.openxmlformats.org/officeDocument/2006/relationships/hyperlink" Target="http://www.myrcmodel.com/index.php?main_page=product_info&amp;cPath=205&amp;products_id=3616&amp;zenid=u1u8ikn71qqvutjb047o350ta3" TargetMode="External"/><Relationship Id="rId1" Type="http://schemas.openxmlformats.org/officeDocument/2006/relationships/hyperlink" Target="http://www.dji.com/product/spreading-wings-s1000" TargetMode="External"/><Relationship Id="rId6" Type="http://schemas.openxmlformats.org/officeDocument/2006/relationships/hyperlink" Target="http://aeronavics.com/products/shop/xm-airframe-kits/airframe-xm-8-ti-qr/" TargetMode="External"/><Relationship Id="rId11" Type="http://schemas.openxmlformats.org/officeDocument/2006/relationships/hyperlink" Target="http://www.rc-drones.com/carboncore-X8-650-Quadcopter.php" TargetMode="External"/><Relationship Id="rId5" Type="http://schemas.openxmlformats.org/officeDocument/2006/relationships/hyperlink" Target="http://aeronavics.com/products/shop/skyjib-airframe-kits/airframe-skyjib-super-6-ti-qr/" TargetMode="External"/><Relationship Id="rId15" Type="http://schemas.openxmlformats.org/officeDocument/2006/relationships/hyperlink" Target="http://www.myrcmodel.com/index.php?main_page=product_info&amp;cPath=205&amp;products_id=3837&amp;zenid=u1u8ikn71qqvutjb047o350ta3" TargetMode="External"/><Relationship Id="rId10" Type="http://schemas.openxmlformats.org/officeDocument/2006/relationships/hyperlink" Target="http://www.rc-drones.com/carboncore-X8-950-Quadcopter.php" TargetMode="External"/><Relationship Id="rId19" Type="http://schemas.openxmlformats.org/officeDocument/2006/relationships/hyperlink" Target="http://www.myrcmodel.com/index.php?main_page=product_info&amp;cPath=205&amp;products_id=3881&amp;zenid=u1u8ikn71qqvutjb047o350ta3" TargetMode="External"/><Relationship Id="rId4" Type="http://schemas.openxmlformats.org/officeDocument/2006/relationships/hyperlink" Target="http://aeronavics.com/products/shop/skyjib-airframe-kits/airframe-skyjib-x4-ti-qr/" TargetMode="External"/><Relationship Id="rId9" Type="http://schemas.openxmlformats.org/officeDocument/2006/relationships/hyperlink" Target="http://www.coptersquad.com/en/carboncore-h650-hexacopter-frame.html" TargetMode="External"/><Relationship Id="rId14" Type="http://schemas.openxmlformats.org/officeDocument/2006/relationships/hyperlink" Target="http://hobby-wing.com/arris-m680-foldable-quadcopter-frame.html" TargetMode="External"/><Relationship Id="rId22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hyperlink" Target="http://www.coptersquad.com/en/feiyu-tech-fy41ap-autopilot-gps-osd.html" TargetMode="External"/><Relationship Id="rId2" Type="http://schemas.openxmlformats.org/officeDocument/2006/relationships/hyperlink" Target="https://store.3drobotics.com/products/apm-2-6-kit-1" TargetMode="External"/><Relationship Id="rId1" Type="http://schemas.openxmlformats.org/officeDocument/2006/relationships/hyperlink" Target="https://store.3drobotics.com/products/3dr-pixhawk" TargetMode="External"/><Relationship Id="rId5" Type="http://schemas.openxmlformats.org/officeDocument/2006/relationships/printerSettings" Target="../printerSettings/printerSettings3.bin"/><Relationship Id="rId4" Type="http://schemas.openxmlformats.org/officeDocument/2006/relationships/hyperlink" Target="http://www.coptersquad.com/en/feiyu-tech-fydosautopilot.html" TargetMode="Externa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hyperlink" Target="http://www.futaba-rc.com/systems/futk8010.html" TargetMode="External"/><Relationship Id="rId2" Type="http://schemas.openxmlformats.org/officeDocument/2006/relationships/hyperlink" Target="http://www.spektrumrc.com/Products/Default.aspx?ProdId=SPM6700" TargetMode="External"/><Relationship Id="rId1" Type="http://schemas.openxmlformats.org/officeDocument/2006/relationships/hyperlink" Target="http://www.futaba-rc.com/systems/futk9410-14sg/index.html" TargetMode="External"/><Relationship Id="rId4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8" Type="http://schemas.openxmlformats.org/officeDocument/2006/relationships/hyperlink" Target="http://www.spektrumrc.com/Products/Default.aspx?ProdID=SPMAR610" TargetMode="External"/><Relationship Id="rId3" Type="http://schemas.openxmlformats.org/officeDocument/2006/relationships/hyperlink" Target="http://www.gpdealera.com/cgi-bin/wgainf100p.pgm?I=FUTL7668" TargetMode="External"/><Relationship Id="rId7" Type="http://schemas.openxmlformats.org/officeDocument/2006/relationships/hyperlink" Target="http://www.spektrumrc.com/Products/Default.aspx?ProdID=SPMAR7610" TargetMode="External"/><Relationship Id="rId2" Type="http://schemas.openxmlformats.org/officeDocument/2006/relationships/hyperlink" Target="http://www.gpdealera.com/cgi-bin/wgainf100p.pgm?I=FUTL7645" TargetMode="External"/><Relationship Id="rId1" Type="http://schemas.openxmlformats.org/officeDocument/2006/relationships/hyperlink" Target="http://www.horizonhobby.com/products/rg631b-6ch-dmss-full-range-rx-with-ra-01-telem-JRP03426" TargetMode="External"/><Relationship Id="rId6" Type="http://schemas.openxmlformats.org/officeDocument/2006/relationships/hyperlink" Target="http://www.spektrumrc.com/Products/Default.aspx?ProdID=SPMAR8000" TargetMode="External"/><Relationship Id="rId5" Type="http://schemas.openxmlformats.org/officeDocument/2006/relationships/hyperlink" Target="http://www.horizonhobby.com/products/rg1131b-11-channel-dmss-full-range-receiver-with-ra-01t-telem-JRP03425" TargetMode="External"/><Relationship Id="rId4" Type="http://schemas.openxmlformats.org/officeDocument/2006/relationships/hyperlink" Target="http://www.gpdealera.com/cgi-bin/wgainf100p.pgm?I=FUTL7627" TargetMode="External"/><Relationship Id="rId9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6.bin"/><Relationship Id="rId2" Type="http://schemas.openxmlformats.org/officeDocument/2006/relationships/hyperlink" Target="http://www.nikonusa.com/en/Nikon-Products/Product/Digital-SLR-Cameras/D800.html" TargetMode="External"/><Relationship Id="rId1" Type="http://schemas.openxmlformats.org/officeDocument/2006/relationships/hyperlink" Target="http://www.usa.canon.com/cusa/professional/products/professional_cameras/digital_slr_cameras/eos_5d_mark_iii" TargetMode="External"/></Relationships>
</file>

<file path=xl/worksheets/_rels/sheet8.xml.rels><?xml version="1.0" encoding="UTF-8" standalone="yes"?>
<Relationships xmlns="http://schemas.openxmlformats.org/package/2006/relationships"><Relationship Id="rId8" Type="http://schemas.openxmlformats.org/officeDocument/2006/relationships/hyperlink" Target="http://www.hobby-wing.com/tarot-gopro-brushless-gimbal-tl68a00.html" TargetMode="External"/><Relationship Id="rId3" Type="http://schemas.openxmlformats.org/officeDocument/2006/relationships/hyperlink" Target="http://www.dji.com/product/zenmuse-z15-5d" TargetMode="External"/><Relationship Id="rId7" Type="http://schemas.openxmlformats.org/officeDocument/2006/relationships/hyperlink" Target="http://www.photohigher.co.nz/products/camera-gimbals-and-kits/av200/av2-av200-standard-gimbals/" TargetMode="External"/><Relationship Id="rId2" Type="http://schemas.openxmlformats.org/officeDocument/2006/relationships/hyperlink" Target="http://www.dji.com/product/zenmuse-h3-3d" TargetMode="External"/><Relationship Id="rId1" Type="http://schemas.openxmlformats.org/officeDocument/2006/relationships/hyperlink" Target="http://www.dji.com/product/zenmuse-h3-2d" TargetMode="External"/><Relationship Id="rId6" Type="http://schemas.openxmlformats.org/officeDocument/2006/relationships/hyperlink" Target="http://www.photohigher.co.nz/products/camera-gimbals-and-kits/av130/av1-av130-standard-gimbals-as/" TargetMode="External"/><Relationship Id="rId5" Type="http://schemas.openxmlformats.org/officeDocument/2006/relationships/hyperlink" Target="http://www.hobby-wing.com/arris-cm3000-gopro-hero3-brushless-motor-gimbal.html" TargetMode="External"/><Relationship Id="rId4" Type="http://schemas.openxmlformats.org/officeDocument/2006/relationships/hyperlink" Target="http://www.hobby-wing.com/arris-cm2000-gopro3-brushless-gimbal.html" TargetMode="External"/><Relationship Id="rId9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8" Type="http://schemas.openxmlformats.org/officeDocument/2006/relationships/hyperlink" Target="http://www.rctigermotor.com/html/2013/Navigator_0910/39.html" TargetMode="External"/><Relationship Id="rId13" Type="http://schemas.openxmlformats.org/officeDocument/2006/relationships/hyperlink" Target="http://www.rctigermotor.com/html/2013/Navigator_0910/37.html" TargetMode="External"/><Relationship Id="rId18" Type="http://schemas.openxmlformats.org/officeDocument/2006/relationships/hyperlink" Target="http://www.rctigermotor.com/html/2013/Power-Type_0928/92.html" TargetMode="External"/><Relationship Id="rId26" Type="http://schemas.openxmlformats.org/officeDocument/2006/relationships/hyperlink" Target="http://www.scorpionsystem.com/catalog/motors/hkiii-40/hkiii-4035/HKIII_4035_530/" TargetMode="External"/><Relationship Id="rId3" Type="http://schemas.openxmlformats.org/officeDocument/2006/relationships/hyperlink" Target="http://www.rctigermotor.com/html/2013/Navigator_1019/100.html" TargetMode="External"/><Relationship Id="rId21" Type="http://schemas.openxmlformats.org/officeDocument/2006/relationships/hyperlink" Target="http://www.rctigermotor.com/html/2013/Navigator_1019/99.html" TargetMode="External"/><Relationship Id="rId34" Type="http://schemas.openxmlformats.org/officeDocument/2006/relationships/hyperlink" Target="http://www.scorpionsystem.com/catalog/motors/sii-40_series/SII-4025-520/" TargetMode="External"/><Relationship Id="rId7" Type="http://schemas.openxmlformats.org/officeDocument/2006/relationships/hyperlink" Target="http://www.rctigermotor.com/html/2013/Navigator_0910/39.html" TargetMode="External"/><Relationship Id="rId12" Type="http://schemas.openxmlformats.org/officeDocument/2006/relationships/hyperlink" Target="http://www.rctigermotor.com/html/2013/Navigator_0910/37.html" TargetMode="External"/><Relationship Id="rId17" Type="http://schemas.openxmlformats.org/officeDocument/2006/relationships/hyperlink" Target="http://www.rctigermotor.com/html/2013/Power-Type_0928/91.html" TargetMode="External"/><Relationship Id="rId25" Type="http://schemas.openxmlformats.org/officeDocument/2006/relationships/hyperlink" Target="http://www.scorpionsystem.com/catalog/motors/hkiii-40/hkiii-4035/HKIII_4035_500/" TargetMode="External"/><Relationship Id="rId33" Type="http://schemas.openxmlformats.org/officeDocument/2006/relationships/hyperlink" Target="http://www.scorpionsystem.com/catalog/motors/sii-40_series/SII-4025-440/" TargetMode="External"/><Relationship Id="rId2" Type="http://schemas.openxmlformats.org/officeDocument/2006/relationships/hyperlink" Target="http://www.rctigermotor.com/html/2013/Navigator_1019/100.html" TargetMode="External"/><Relationship Id="rId16" Type="http://schemas.openxmlformats.org/officeDocument/2006/relationships/hyperlink" Target="http://www.rctigermotor.com/html/2013/Antigravity_Motors_0916/78.html" TargetMode="External"/><Relationship Id="rId20" Type="http://schemas.openxmlformats.org/officeDocument/2006/relationships/hyperlink" Target="http://www.rctigermotor.com/html/2013/Navigator_1019/98.html" TargetMode="External"/><Relationship Id="rId29" Type="http://schemas.openxmlformats.org/officeDocument/2006/relationships/hyperlink" Target="http://www.scorpionsystem.com/catalog/motors/sii-40_series/SII_4020-420/" TargetMode="External"/><Relationship Id="rId1" Type="http://schemas.openxmlformats.org/officeDocument/2006/relationships/hyperlink" Target="http://www.scorpionsystem.com/catalog/motors/m40/M_4010_360/" TargetMode="External"/><Relationship Id="rId6" Type="http://schemas.openxmlformats.org/officeDocument/2006/relationships/hyperlink" Target="http://www.rctigermotor.com/html/2013/Navigator_0910/39.html" TargetMode="External"/><Relationship Id="rId11" Type="http://schemas.openxmlformats.org/officeDocument/2006/relationships/hyperlink" Target="http://www.rctigermotor.com/html/2013/Navigator_0910/38.html" TargetMode="External"/><Relationship Id="rId24" Type="http://schemas.openxmlformats.org/officeDocument/2006/relationships/hyperlink" Target="http://www.scorpionsystem.com/catalog/motors/hkiii-40/hkiii-4035/HKIII_4035_450/" TargetMode="External"/><Relationship Id="rId32" Type="http://schemas.openxmlformats.org/officeDocument/2006/relationships/hyperlink" Target="http://www.scorpionsystem.com/catalog/motors/sii-40_series/SII-4025-330/" TargetMode="External"/><Relationship Id="rId37" Type="http://schemas.openxmlformats.org/officeDocument/2006/relationships/hyperlink" Target="http://www.scorpionsystem.com/catalog/motors/sii-40_series/SII-4035-380/" TargetMode="External"/><Relationship Id="rId5" Type="http://schemas.openxmlformats.org/officeDocument/2006/relationships/hyperlink" Target="http://www.rctigermotor.com/html/2013/Navigator_0910/40.html" TargetMode="External"/><Relationship Id="rId15" Type="http://schemas.openxmlformats.org/officeDocument/2006/relationships/hyperlink" Target="http://www.rctigermotor.com/html/2013/Professional_0914/54.html" TargetMode="External"/><Relationship Id="rId23" Type="http://schemas.openxmlformats.org/officeDocument/2006/relationships/hyperlink" Target="http://www.scorpionsystem.com/catalog/motors/hkiii-40/hkiii-4035/HKIII_4035_330/" TargetMode="External"/><Relationship Id="rId28" Type="http://schemas.openxmlformats.org/officeDocument/2006/relationships/hyperlink" Target="http://www.scorpionsystem.com/catalog/motors/m40/M_4015_340/" TargetMode="External"/><Relationship Id="rId36" Type="http://schemas.openxmlformats.org/officeDocument/2006/relationships/hyperlink" Target="http://www.scorpionsystem.com/catalog/motors/sii-40_series/SII-4035-330/" TargetMode="External"/><Relationship Id="rId10" Type="http://schemas.openxmlformats.org/officeDocument/2006/relationships/hyperlink" Target="http://www.rctigermotor.com/html/2013/Navigator_0910/38.html" TargetMode="External"/><Relationship Id="rId19" Type="http://schemas.openxmlformats.org/officeDocument/2006/relationships/hyperlink" Target="http://www.rctigermotor.com/html/2013/Power-Type_0928/92.html" TargetMode="External"/><Relationship Id="rId31" Type="http://schemas.openxmlformats.org/officeDocument/2006/relationships/hyperlink" Target="http://www.scorpionsystem.com/catalog/motors/sii-40_series/SII_4020-630/" TargetMode="External"/><Relationship Id="rId4" Type="http://schemas.openxmlformats.org/officeDocument/2006/relationships/hyperlink" Target="http://www.rctigermotor.com/html/2013/Navigator_0910/40.html" TargetMode="External"/><Relationship Id="rId9" Type="http://schemas.openxmlformats.org/officeDocument/2006/relationships/hyperlink" Target="http://www.rctigermotor.com/html/2013/Navigator_0910/38.html" TargetMode="External"/><Relationship Id="rId14" Type="http://schemas.openxmlformats.org/officeDocument/2006/relationships/hyperlink" Target="http://www.rctigermotor.com/html/2013/Navigator_0910/37.html" TargetMode="External"/><Relationship Id="rId22" Type="http://schemas.openxmlformats.org/officeDocument/2006/relationships/hyperlink" Target="http://www.rctigermotor.com/html/2013/Power-Type_0928/90.html" TargetMode="External"/><Relationship Id="rId27" Type="http://schemas.openxmlformats.org/officeDocument/2006/relationships/hyperlink" Target="http://www.scorpionsystem.com/catalog/motors/hkiii-40/hkiii-4035/HKIII_4035_560/" TargetMode="External"/><Relationship Id="rId30" Type="http://schemas.openxmlformats.org/officeDocument/2006/relationships/hyperlink" Target="http://www.scorpionsystem.com/catalog/motors/sii-40_series/SII_4020-540/" TargetMode="External"/><Relationship Id="rId35" Type="http://schemas.openxmlformats.org/officeDocument/2006/relationships/hyperlink" Target="http://www.scorpionsystem.com/catalog/motors/sii-40_series/SII-4035-250/" TargetMode="External"/></Relationships>
</file>

<file path=xl/worksheets/_rels/sheet10.xml.rels><?xml version="1.0" encoding="UTF-8" standalone="yes"?>
<Relationships xmlns="http://schemas.openxmlformats.org/package/2006/relationships"><Relationship Id="rId8" Type="http://schemas.openxmlformats.org/officeDocument/2006/relationships/hyperlink" Target="http://www.rctigermotor.com/html/2013/esc_0916/84.html" TargetMode="External"/><Relationship Id="rId3" Type="http://schemas.openxmlformats.org/officeDocument/2006/relationships/hyperlink" Target="http://www.hobbyking.com/hobbyking/store/uh_viewitem.asp?idproduct=2165&amp;aff=586251" TargetMode="External"/><Relationship Id="rId7" Type="http://schemas.openxmlformats.org/officeDocument/2006/relationships/hyperlink" Target="http://www.hobby-wing.com/hobbywing-pentium-40a-brusless-esc.html" TargetMode="External"/><Relationship Id="rId2" Type="http://schemas.openxmlformats.org/officeDocument/2006/relationships/hyperlink" Target="http://www.hobbyking.com/hobbyking/store/uh_viewitem.asp?idproduct=2166&amp;aff=586251" TargetMode="External"/><Relationship Id="rId1" Type="http://schemas.openxmlformats.org/officeDocument/2006/relationships/hyperlink" Target="http://www.hobbyking.com/hobbyking/store/uh_viewitem.asp?idproduct=2163&amp;aff=586251" TargetMode="External"/><Relationship Id="rId6" Type="http://schemas.openxmlformats.org/officeDocument/2006/relationships/hyperlink" Target="http://www.hobby-wing.com/hobbywing-pentium-30a-brusless-esc.html" TargetMode="External"/><Relationship Id="rId5" Type="http://schemas.openxmlformats.org/officeDocument/2006/relationships/hyperlink" Target="http://www.hobbyking.com/hobbyking/store/__10943__Turnigy_Super_Brain_80A_Brushless_ESC.html" TargetMode="External"/><Relationship Id="rId10" Type="http://schemas.openxmlformats.org/officeDocument/2006/relationships/printerSettings" Target="../printerSettings/printerSettings8.bin"/><Relationship Id="rId4" Type="http://schemas.openxmlformats.org/officeDocument/2006/relationships/hyperlink" Target="http://www.hobbyking.com/hobbyking/store/uh_viewitem.asp?idproduct=2164&amp;aff=586251" TargetMode="External"/><Relationship Id="rId9" Type="http://schemas.openxmlformats.org/officeDocument/2006/relationships/hyperlink" Target="http://www.rctigermotor.com/html/2013/esc_0916/87.html" TargetMode="External"/></Relationships>
</file>

<file path=xl/worksheets/_rels/sheet11.xml.rels><?xml version="1.0" encoding="UTF-8" standalone="yes"?>
<Relationships xmlns="http://schemas.openxmlformats.org/package/2006/relationships"><Relationship Id="rId3" Type="http://schemas.openxmlformats.org/officeDocument/2006/relationships/hyperlink" Target="http://www.hobbyking.com/hobbyking/store/__19154__Turnigy_nano_tech_5000mah_4S_65_130C_Lipo_Pack.html" TargetMode="External"/><Relationship Id="rId2" Type="http://schemas.openxmlformats.org/officeDocument/2006/relationships/hyperlink" Target="http://www.hobbyking.com/hobbyking/store/__19155__Turnigy_nano_tech_5000mah_5S_65_130C_Lipo_Pack.html" TargetMode="External"/><Relationship Id="rId1" Type="http://schemas.openxmlformats.org/officeDocument/2006/relationships/hyperlink" Target="http://rc-drones.com/hyp-g3-vx5400-4s.php" TargetMode="External"/><Relationship Id="rId6" Type="http://schemas.openxmlformats.org/officeDocument/2006/relationships/hyperlink" Target="http://www.hobbyking.com/hobbyking/store/__45145__Turnigy_nano_tech_A_SPEC_G2_5000mah_6S_65_130C_Lipo_Pack.html" TargetMode="External"/><Relationship Id="rId5" Type="http://schemas.openxmlformats.org/officeDocument/2006/relationships/hyperlink" Target="http://www.hobbyking.com/hobbyking/store/__45145__Turnigy_nano_tech_A_SPEC_G2_5000mah_6S_65_130C_Lipo_Pack.html" TargetMode="External"/><Relationship Id="rId4" Type="http://schemas.openxmlformats.org/officeDocument/2006/relationships/hyperlink" Target="http://www.hobbyking.com/hobbyking/store/__45145__Turnigy_nano_tech_A_SPEC_G2_5000mah_6S_65_130C_Lipo_Pack.html" TargetMode="External"/></Relationships>
</file>

<file path=xl/worksheets/_rels/sheet12.xml.rels><?xml version="1.0" encoding="UTF-8" standalone="yes"?>
<Relationships xmlns="http://schemas.openxmlformats.org/package/2006/relationships"><Relationship Id="rId3" Type="http://schemas.openxmlformats.org/officeDocument/2006/relationships/hyperlink" Target="http://www.rc-drones.com/APC-12x4-5-Left-Propeller.php" TargetMode="External"/><Relationship Id="rId7" Type="http://schemas.openxmlformats.org/officeDocument/2006/relationships/printerSettings" Target="../printerSettings/printerSettings9.bin"/><Relationship Id="rId2" Type="http://schemas.openxmlformats.org/officeDocument/2006/relationships/hyperlink" Target="http://www.rc-drones.com/gemfan-S800-Prop.php" TargetMode="External"/><Relationship Id="rId1" Type="http://schemas.openxmlformats.org/officeDocument/2006/relationships/hyperlink" Target="http://www.rc-drones.com/gemfan-137.php" TargetMode="External"/><Relationship Id="rId6" Type="http://schemas.openxmlformats.org/officeDocument/2006/relationships/hyperlink" Target="http://www.hobby-wing.com/sigma-1340-carbon-fiber-prop.html" TargetMode="External"/><Relationship Id="rId5" Type="http://schemas.openxmlformats.org/officeDocument/2006/relationships/hyperlink" Target="http://www.rc-drones.com/Maytech-MTCP1255T-12prop.php" TargetMode="External"/><Relationship Id="rId4" Type="http://schemas.openxmlformats.org/officeDocument/2006/relationships/hyperlink" Target="http://www.rc-drones.com/RcTiger15CF-props.php" TargetMode="Externa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hyperlink" Target="http://www.findmespot.com/" TargetMode="External"/></Relationships>
</file>

<file path=xl/worksheets/_rels/sheet14.xml.rels><?xml version="1.0" encoding="UTF-8" standalone="yes"?>
<Relationships xmlns="http://schemas.openxmlformats.org/package/2006/relationships"><Relationship Id="rId3" Type="http://schemas.openxmlformats.org/officeDocument/2006/relationships/hyperlink" Target="http://www.ecalc.ch/xcoptercalc.htm?ecalc&amp;lang=en&amp;cooling=2.5&amp;rotornumber=4&amp;weight=1664&amp;calc=auw&amp;elevation=500&amp;airtemp=25&amp;qnh=1013&amp;batteries=lipo_5000mah_-_65/100c&amp;chargestate=0&amp;s=3&amp;p=1&amp;esc=max_40a&amp;motor=turnigy&amp;gear=1&amp;propeller=apc_slowfly_sf&amp;diameter=12" TargetMode="External"/><Relationship Id="rId2" Type="http://schemas.openxmlformats.org/officeDocument/2006/relationships/hyperlink" Target="http://www.ecalc.ch/xcoptercalc.htm?ecalc&amp;lang=en&amp;cooling=2.5&amp;rotornumber=4&amp;weight=1798&amp;calc=auw&amp;elevation=500&amp;airtemp=25&amp;qnh=1013&amp;batteries=lipo_5000mah_-_65/100c&amp;chargestate=0&amp;s=4&amp;p=1&amp;esc=max_40a&amp;motor=turnigy&amp;gear=1&amp;propeller=apc_slowfly_sf&amp;diameter=12" TargetMode="External"/><Relationship Id="rId1" Type="http://schemas.openxmlformats.org/officeDocument/2006/relationships/hyperlink" Target="http://www.ecalc.ch/xcoptercalc.htm?ecalc&amp;lang=en&amp;cooling=2.5&amp;rotornumber=4&amp;weight=1756&amp;calc=auw&amp;elevation=500&amp;airtemp=25&amp;qnh=1013&amp;batteries=lipo_5000mah_-_45/60c&amp;chargestate=0&amp;s=3&amp;p=1&amp;esc=max_40a&amp;motor=turnigy&amp;gear=1&amp;propeller=apc_slowfly_sf&amp;diameter=12&amp;" TargetMode="External"/><Relationship Id="rId4" Type="http://schemas.openxmlformats.org/officeDocument/2006/relationships/hyperlink" Target="http://www.ecalc.ch/xcoptercalc.htm?ecalc&amp;lang=en&amp;cooling=2.5&amp;rotornumber=4&amp;weight=1910&amp;calc=auw&amp;elevation=500&amp;airtemp=25&amp;qnh=1013&amp;esc=max_40a&amp;motor=turnigy&amp;gear=1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K45"/>
  <sheetViews>
    <sheetView view="pageLayout" topLeftCell="A7" workbookViewId="0">
      <selection activeCell="E9" sqref="E9"/>
    </sheetView>
  </sheetViews>
  <sheetFormatPr defaultColWidth="8.875" defaultRowHeight="12.75" x14ac:dyDescent="0.2"/>
  <cols>
    <col min="1" max="1" width="7.875" style="163" bestFit="1" customWidth="1"/>
    <col min="2" max="2" width="10.875" style="163" bestFit="1" customWidth="1"/>
    <col min="3" max="3" width="14.375" style="163" customWidth="1"/>
    <col min="4" max="4" width="15.375" style="163" customWidth="1"/>
    <col min="5" max="5" width="20.625" style="163" bestFit="1" customWidth="1"/>
    <col min="6" max="6" width="11.5" style="181" customWidth="1"/>
    <col min="7" max="7" width="13.875" style="163" bestFit="1" customWidth="1"/>
    <col min="8" max="8" width="15" style="163" bestFit="1" customWidth="1"/>
    <col min="9" max="10" width="13.125" style="163" customWidth="1"/>
    <col min="11" max="11" width="41.625" style="163" bestFit="1" customWidth="1"/>
    <col min="12" max="12" width="11.375" style="163" bestFit="1" customWidth="1"/>
    <col min="13" max="16384" width="8.875" style="163"/>
  </cols>
  <sheetData>
    <row r="1" spans="1:11" ht="15" x14ac:dyDescent="0.2">
      <c r="A1" s="182"/>
      <c r="B1" s="182"/>
      <c r="C1" s="182"/>
      <c r="D1" s="182"/>
      <c r="E1" s="183"/>
      <c r="F1" s="182"/>
      <c r="G1" s="182"/>
      <c r="H1" s="184"/>
    </row>
    <row r="2" spans="1:11" ht="15.95" customHeight="1" x14ac:dyDescent="0.2">
      <c r="A2" s="189" t="s">
        <v>44</v>
      </c>
      <c r="B2" s="189" t="s">
        <v>45</v>
      </c>
      <c r="C2" s="189" t="s">
        <v>556</v>
      </c>
      <c r="D2" s="189" t="s">
        <v>435</v>
      </c>
      <c r="E2" s="189" t="s">
        <v>434</v>
      </c>
      <c r="F2" s="162" t="s">
        <v>46</v>
      </c>
      <c r="G2" s="162" t="s">
        <v>47</v>
      </c>
      <c r="H2" s="162" t="s">
        <v>48</v>
      </c>
      <c r="I2" s="190" t="s">
        <v>49</v>
      </c>
      <c r="J2" s="190" t="s">
        <v>50</v>
      </c>
      <c r="K2" s="394" t="s">
        <v>598</v>
      </c>
    </row>
    <row r="3" spans="1:11" ht="15.95" customHeight="1" x14ac:dyDescent="0.2">
      <c r="A3" s="164">
        <v>1</v>
      </c>
      <c r="B3" s="166" t="s">
        <v>54</v>
      </c>
      <c r="C3" s="369" t="s">
        <v>113</v>
      </c>
      <c r="D3" s="165" t="str">
        <f>INDEX(Frame_Brand,MATCH(E3,Frame_Model,0))</f>
        <v>Tarot</v>
      </c>
      <c r="E3" s="166" t="s">
        <v>234</v>
      </c>
      <c r="F3" s="167">
        <v>1</v>
      </c>
      <c r="G3" s="168">
        <f>INDEX(Frame_Mass,MATCH(E3,Frame_Model,0))</f>
        <v>1050</v>
      </c>
      <c r="H3" s="167">
        <f>G3*F3</f>
        <v>1050</v>
      </c>
      <c r="I3" s="169">
        <f>INDEX(Frame_Price,MATCH(E3,Frame_Model,0))</f>
        <v>444</v>
      </c>
      <c r="J3" s="170">
        <f>I3*F3</f>
        <v>444</v>
      </c>
      <c r="K3" s="170" t="str">
        <f>INDEX(Frame_Link,MATCH(E3,Frame_Model,0))</f>
        <v>www.myrcmodel.com</v>
      </c>
    </row>
    <row r="4" spans="1:11" ht="15.95" customHeight="1" x14ac:dyDescent="0.2">
      <c r="A4" s="164">
        <v>2</v>
      </c>
      <c r="B4" s="166" t="s">
        <v>52</v>
      </c>
      <c r="C4" s="369" t="s">
        <v>114</v>
      </c>
      <c r="D4" s="165" t="str">
        <f>INDEX(FC_Brand,MATCH(E4,FC_Model,0))</f>
        <v>3DRobotics</v>
      </c>
      <c r="E4" s="166" t="s">
        <v>91</v>
      </c>
      <c r="F4" s="167">
        <v>1</v>
      </c>
      <c r="G4" s="168">
        <f>INDEX(FC_Mass,MATCH(E4,FC_Model,0))</f>
        <v>38</v>
      </c>
      <c r="H4" s="171">
        <f t="shared" ref="H4:H13" si="0">G4*F4</f>
        <v>38</v>
      </c>
      <c r="I4" s="172">
        <f>INDEX(FC_Price,MATCH(E4,FC_Model,0))</f>
        <v>379.98</v>
      </c>
      <c r="J4" s="170">
        <f t="shared" ref="J4:J13" si="1">I4*F4</f>
        <v>379.98</v>
      </c>
      <c r="K4" s="173" t="str">
        <f>INDEX(FC_Link,MATCH(E4,FC_Model,0))</f>
        <v>https://store.3drobotics.com</v>
      </c>
    </row>
    <row r="5" spans="1:11" ht="15.95" customHeight="1" x14ac:dyDescent="0.2">
      <c r="A5" s="164">
        <v>3</v>
      </c>
      <c r="B5" s="166" t="s">
        <v>52</v>
      </c>
      <c r="C5" s="311" t="s">
        <v>130</v>
      </c>
      <c r="D5" s="165" t="str">
        <f>INDEX(Tx_Brand,MATCH(E5,Tx_Model,0))</f>
        <v>Futaba</v>
      </c>
      <c r="E5" s="166" t="s">
        <v>561</v>
      </c>
      <c r="F5" s="167">
        <v>1</v>
      </c>
      <c r="G5" s="168">
        <v>0</v>
      </c>
      <c r="H5" s="171">
        <v>0</v>
      </c>
      <c r="I5" s="172">
        <f>INDEX(Tx_Price,MATCH(E5,Tx_Model,0))</f>
        <v>479</v>
      </c>
      <c r="J5" s="170">
        <f t="shared" si="1"/>
        <v>479</v>
      </c>
      <c r="K5" s="173" t="str">
        <f>INDEX(Tx_Link,MATCH(E5,Tx_Model,0))</f>
        <v>http://www.futaba-rc.com/systems/futk8010.html</v>
      </c>
    </row>
    <row r="6" spans="1:11" ht="15.95" customHeight="1" x14ac:dyDescent="0.2">
      <c r="A6" s="164">
        <v>4</v>
      </c>
      <c r="B6" s="166" t="s">
        <v>52</v>
      </c>
      <c r="C6" s="311" t="s">
        <v>53</v>
      </c>
      <c r="D6" s="165" t="str">
        <f>INDEX(RC_Brand,MATCH(E6,RC_Model2,0))</f>
        <v>Futaba</v>
      </c>
      <c r="E6" s="166" t="s">
        <v>204</v>
      </c>
      <c r="F6" s="167">
        <v>1</v>
      </c>
      <c r="G6" s="168">
        <f>INDEX(RC_Mass,MATCH(E6,RC_Model2,0))</f>
        <v>13.8</v>
      </c>
      <c r="H6" s="171">
        <f t="shared" si="0"/>
        <v>13.8</v>
      </c>
      <c r="I6" s="172">
        <f>INDEX(RC_Price,MATCH(E6,RC_Model2,0))</f>
        <v>129.99</v>
      </c>
      <c r="J6" s="170">
        <f t="shared" si="1"/>
        <v>129.99</v>
      </c>
      <c r="K6" s="173" t="str">
        <f>INDEX(RC_Link,MATCH(E6,RC_Model2,0))</f>
        <v>www.gpdealera.com</v>
      </c>
    </row>
    <row r="7" spans="1:11" ht="15.95" customHeight="1" x14ac:dyDescent="0.2">
      <c r="A7" s="164">
        <v>5</v>
      </c>
      <c r="B7" s="166" t="s">
        <v>52</v>
      </c>
      <c r="C7" s="311" t="s">
        <v>57</v>
      </c>
      <c r="D7" s="165" t="str">
        <f>INDEX(Camera_Brand,MATCH(E7,Camera_Model,0))</f>
        <v>Cannon</v>
      </c>
      <c r="E7" s="166" t="s">
        <v>603</v>
      </c>
      <c r="F7" s="167">
        <v>1</v>
      </c>
      <c r="G7" s="168">
        <f>INDEX('5. Cameras'!I3:I9,MATCH(E7,Camera_Model,0))</f>
        <v>1244</v>
      </c>
      <c r="H7" s="171">
        <f t="shared" si="0"/>
        <v>1244</v>
      </c>
      <c r="I7" s="172">
        <f>INDEX(Camera_Price,MATCH(E7,Camera_Model,0))</f>
        <v>3399</v>
      </c>
      <c r="J7" s="170">
        <f t="shared" si="1"/>
        <v>3399</v>
      </c>
      <c r="K7" s="173" t="str">
        <f>INDEX(Cam_Link,MATCH(E7,Camera_Model,0))</f>
        <v>www.usa.canon.com</v>
      </c>
    </row>
    <row r="8" spans="1:11" ht="15.95" customHeight="1" x14ac:dyDescent="0.2">
      <c r="A8" s="164">
        <v>6</v>
      </c>
      <c r="B8" s="166" t="s">
        <v>52</v>
      </c>
      <c r="C8" s="369" t="s">
        <v>56</v>
      </c>
      <c r="D8" s="165" t="str">
        <f>INDEX(Gimbal_Brand2,MATCH(E8,Gimbal_Model,0))</f>
        <v>DJI</v>
      </c>
      <c r="E8" s="166" t="s">
        <v>144</v>
      </c>
      <c r="F8" s="167">
        <v>1</v>
      </c>
      <c r="G8" s="168">
        <f>INDEX(Gimbal_Mass,MATCH(E8,Gimbal_Model,0))</f>
        <v>1420</v>
      </c>
      <c r="H8" s="171">
        <f t="shared" si="0"/>
        <v>1420</v>
      </c>
      <c r="I8" s="172">
        <f>INDEX(Gimbal_Price,MATCH(E8,Gimbal_Model,0))</f>
        <v>2999</v>
      </c>
      <c r="J8" s="170">
        <f t="shared" si="1"/>
        <v>2999</v>
      </c>
      <c r="K8" s="173" t="str">
        <f>INDEX(Gimbal_Link,MATCH(E8,Gimbal_Model,0))</f>
        <v>www.dji.com</v>
      </c>
    </row>
    <row r="9" spans="1:11" ht="15.95" customHeight="1" x14ac:dyDescent="0.2">
      <c r="A9" s="164">
        <v>7</v>
      </c>
      <c r="B9" s="166" t="s">
        <v>52</v>
      </c>
      <c r="C9" s="165" t="s">
        <v>60</v>
      </c>
      <c r="D9" s="165" t="str">
        <f>INDEX(Motor_Brand,MATCH(E9,Motor_Model,0))</f>
        <v>Tiger</v>
      </c>
      <c r="E9" s="166" t="s">
        <v>381</v>
      </c>
      <c r="F9" s="167" t="str">
        <f>INDEX(Number_of_Motors, MATCH(E3,Frame_Model,0))</f>
        <v>6</v>
      </c>
      <c r="G9" s="168">
        <f>INDEX(Motor_Mass,MATCH(E9,Motor_Model,0))</f>
        <v>97</v>
      </c>
      <c r="H9" s="167">
        <f t="shared" si="0"/>
        <v>582</v>
      </c>
      <c r="I9" s="169">
        <f>INDEX(Motor_Price,MATCH(E9,Motor_Model,0))</f>
        <v>109.9</v>
      </c>
      <c r="J9" s="170">
        <f t="shared" si="1"/>
        <v>659.40000000000009</v>
      </c>
      <c r="K9" s="173" t="str">
        <f>INDEX(Motor_Link,MATCH(E9,Motor_Model,0))</f>
        <v>www.rctigermotor.com</v>
      </c>
    </row>
    <row r="10" spans="1:11" ht="15.95" customHeight="1" x14ac:dyDescent="0.2">
      <c r="A10" s="164">
        <v>8</v>
      </c>
      <c r="B10" s="175" t="s">
        <v>52</v>
      </c>
      <c r="C10" s="174" t="s">
        <v>61</v>
      </c>
      <c r="D10" s="165" t="str">
        <f>INDEX(ESC_Brand,MATCH(E10,ESC_Model2,0))</f>
        <v>T-Motor</v>
      </c>
      <c r="E10" s="175" t="s">
        <v>407</v>
      </c>
      <c r="F10" s="176" t="str">
        <f>F9</f>
        <v>6</v>
      </c>
      <c r="G10" s="168">
        <f>INDEX(ESC_Mass,MATCH(E10,ESC_Model2,0))</f>
        <v>35</v>
      </c>
      <c r="H10" s="167">
        <f t="shared" si="0"/>
        <v>210</v>
      </c>
      <c r="I10" s="169">
        <f>INDEX(ESC_Price,MATCH(E10,ESC_Model2,0))</f>
        <v>45.99</v>
      </c>
      <c r="J10" s="170">
        <f t="shared" si="1"/>
        <v>275.94</v>
      </c>
      <c r="K10" s="173" t="str">
        <f>INDEX(ESC_Link,MATCH(E10,ESC_Model3,0))</f>
        <v>http://www.rctigermotor.com/html/2013/esc_0916/84.html</v>
      </c>
    </row>
    <row r="11" spans="1:11" ht="15.95" customHeight="1" x14ac:dyDescent="0.2">
      <c r="A11" s="164">
        <v>9</v>
      </c>
      <c r="B11" s="175" t="s">
        <v>52</v>
      </c>
      <c r="C11" s="174" t="s">
        <v>62</v>
      </c>
      <c r="D11" s="165" t="str">
        <f>INDEX(Bat_Brand,MATCH(E11,Bat_Model,0))</f>
        <v>Turnigy</v>
      </c>
      <c r="E11" s="175" t="s">
        <v>536</v>
      </c>
      <c r="F11" s="176">
        <v>2</v>
      </c>
      <c r="G11" s="168">
        <f>INDEX(Bat_Mass,MATCH(E11,Bat_Model,0))</f>
        <v>576</v>
      </c>
      <c r="H11" s="167">
        <f t="shared" si="0"/>
        <v>1152</v>
      </c>
      <c r="I11" s="169">
        <f>INDEX(Bat_Price,MATCH(E11,Bat_Model,0))</f>
        <v>76.59</v>
      </c>
      <c r="J11" s="170">
        <f t="shared" si="1"/>
        <v>153.18</v>
      </c>
      <c r="K11" s="173" t="str">
        <f>INDEX(Bat_Link,MATCH(E11,Bat_Model,0))</f>
        <v>http://www.hobbyking.com</v>
      </c>
    </row>
    <row r="12" spans="1:11" ht="15.95" customHeight="1" x14ac:dyDescent="0.2">
      <c r="A12" s="164">
        <v>10</v>
      </c>
      <c r="B12" s="175" t="s">
        <v>54</v>
      </c>
      <c r="C12" s="174" t="s">
        <v>58</v>
      </c>
      <c r="D12" s="165" t="str">
        <f>INDEX(Prop_Brand,MATCH(E12,Prop_Model,0))</f>
        <v>GemFan</v>
      </c>
      <c r="E12" s="175" t="s">
        <v>475</v>
      </c>
      <c r="F12" s="176">
        <v>5</v>
      </c>
      <c r="G12" s="168">
        <f>INDEX(Prop_Mass,MATCH(E12,Prop_Model,0))</f>
        <v>16.399999999999999</v>
      </c>
      <c r="H12" s="167">
        <f>G12*$F$9</f>
        <v>98.399999999999991</v>
      </c>
      <c r="I12" s="169">
        <f>INDEX(Prop_Price,MATCH(E12,Prop_Model,0))</f>
        <v>40</v>
      </c>
      <c r="J12" s="170">
        <f t="shared" si="1"/>
        <v>200</v>
      </c>
      <c r="K12" s="173" t="str">
        <f>INDEX(Prop_Link,MATCH(E12,Prop_Model,0))</f>
        <v>http://www.rc-drones.com/gemfan-S800-Prop.php</v>
      </c>
    </row>
    <row r="13" spans="1:11" ht="15.95" customHeight="1" x14ac:dyDescent="0.2">
      <c r="A13" s="164">
        <v>11</v>
      </c>
      <c r="B13" s="175" t="s">
        <v>54</v>
      </c>
      <c r="C13" s="310" t="s">
        <v>55</v>
      </c>
      <c r="D13" s="165" t="str">
        <f>INDEX(Acc_Brand,MATCH(E13,Acc_Model,0))</f>
        <v>Spot</v>
      </c>
      <c r="E13" s="175" t="s">
        <v>160</v>
      </c>
      <c r="F13" s="176">
        <v>1</v>
      </c>
      <c r="G13" s="168">
        <f>INDEX(Acc_Mass,MATCH(E13,Acc_Model,0))</f>
        <v>88</v>
      </c>
      <c r="H13" s="167">
        <f t="shared" si="0"/>
        <v>88</v>
      </c>
      <c r="I13" s="169">
        <f>INDEX(Acc_Price,MATCH(E13,Acc_Model,0))</f>
        <v>199.83999999999997</v>
      </c>
      <c r="J13" s="170">
        <f t="shared" si="1"/>
        <v>199.83999999999997</v>
      </c>
      <c r="K13" s="173" t="str">
        <f>INDEX(Acc_Link,MATCH(E13,Acc_Model,0))</f>
        <v>www.findmespot.com</v>
      </c>
    </row>
    <row r="14" spans="1:11" ht="15.95" customHeight="1" x14ac:dyDescent="0.2">
      <c r="A14" s="185" t="s">
        <v>59</v>
      </c>
      <c r="B14" s="185"/>
      <c r="C14" s="185"/>
      <c r="D14" s="185"/>
      <c r="E14" s="185" t="s">
        <v>134</v>
      </c>
      <c r="F14" s="185">
        <f>SUM(F3:F13)</f>
        <v>14</v>
      </c>
      <c r="G14" s="185" t="s">
        <v>133</v>
      </c>
      <c r="H14" s="186">
        <f>SUM(H3:H13)</f>
        <v>5896.2</v>
      </c>
      <c r="I14" s="187" t="s">
        <v>132</v>
      </c>
      <c r="J14" s="188">
        <f>SUM(J3:J13)</f>
        <v>9319.3300000000017</v>
      </c>
      <c r="K14" s="188"/>
    </row>
    <row r="15" spans="1:11" s="177" customFormat="1" ht="18.95" customHeight="1" x14ac:dyDescent="0.25">
      <c r="A15" s="387">
        <f ca="1">NOW()</f>
        <v>41741.59949479167</v>
      </c>
      <c r="B15" s="387"/>
      <c r="F15" s="178"/>
      <c r="I15" s="179" t="s">
        <v>433</v>
      </c>
      <c r="J15" s="180">
        <f>J14-J5-J7</f>
        <v>5441.3300000000017</v>
      </c>
      <c r="K15" s="180"/>
    </row>
    <row r="16" spans="1:11" ht="15" x14ac:dyDescent="0.2">
      <c r="A16" s="182" t="s">
        <v>601</v>
      </c>
      <c r="B16" s="182"/>
      <c r="C16" s="177"/>
      <c r="D16" s="283"/>
      <c r="E16" s="182" t="s">
        <v>549</v>
      </c>
      <c r="F16" s="178" t="s">
        <v>550</v>
      </c>
      <c r="G16" s="163" t="s">
        <v>557</v>
      </c>
      <c r="H16" s="163" t="s">
        <v>600</v>
      </c>
    </row>
    <row r="17" spans="1:11" ht="15" x14ac:dyDescent="0.2">
      <c r="A17" s="189" t="s">
        <v>44</v>
      </c>
      <c r="B17" s="189" t="s">
        <v>45</v>
      </c>
      <c r="C17" s="189" t="s">
        <v>556</v>
      </c>
      <c r="D17" s="284" t="s">
        <v>532</v>
      </c>
      <c r="E17" s="178" t="s">
        <v>547</v>
      </c>
      <c r="F17" s="177" t="s">
        <v>571</v>
      </c>
      <c r="G17" s="378">
        <v>41738.542361111111</v>
      </c>
    </row>
    <row r="18" spans="1:11" ht="15" x14ac:dyDescent="0.2">
      <c r="A18" s="292">
        <v>1</v>
      </c>
      <c r="B18" s="293" t="s">
        <v>51</v>
      </c>
      <c r="C18" s="294" t="s">
        <v>113</v>
      </c>
      <c r="D18" s="306">
        <v>21</v>
      </c>
      <c r="E18" s="179">
        <v>9</v>
      </c>
      <c r="F18" s="177">
        <v>3</v>
      </c>
      <c r="G18" s="163">
        <v>1</v>
      </c>
      <c r="H18" s="163">
        <v>1</v>
      </c>
      <c r="K18" s="177" t="s">
        <v>591</v>
      </c>
    </row>
    <row r="19" spans="1:11" ht="15" x14ac:dyDescent="0.2">
      <c r="A19" s="292">
        <v>2</v>
      </c>
      <c r="B19" s="293" t="s">
        <v>52</v>
      </c>
      <c r="C19" s="294" t="s">
        <v>114</v>
      </c>
      <c r="D19" s="306">
        <v>7</v>
      </c>
      <c r="E19" s="179">
        <v>5</v>
      </c>
      <c r="F19" s="177">
        <v>3</v>
      </c>
      <c r="G19" s="163">
        <v>1</v>
      </c>
      <c r="H19" s="163">
        <v>1</v>
      </c>
      <c r="K19" s="312" t="s">
        <v>564</v>
      </c>
    </row>
    <row r="20" spans="1:11" ht="15" x14ac:dyDescent="0.2">
      <c r="A20" s="292">
        <v>3</v>
      </c>
      <c r="B20" s="293" t="s">
        <v>52</v>
      </c>
      <c r="C20" s="294" t="s">
        <v>130</v>
      </c>
      <c r="D20" s="306">
        <v>13</v>
      </c>
      <c r="E20" s="179">
        <v>1</v>
      </c>
      <c r="F20" s="177">
        <v>1</v>
      </c>
      <c r="G20" s="163">
        <v>1</v>
      </c>
      <c r="H20" s="163">
        <v>1</v>
      </c>
      <c r="K20" s="177" t="s">
        <v>579</v>
      </c>
    </row>
    <row r="21" spans="1:11" ht="15" x14ac:dyDescent="0.2">
      <c r="A21" s="292">
        <v>4</v>
      </c>
      <c r="B21" s="293" t="s">
        <v>52</v>
      </c>
      <c r="C21" s="294" t="s">
        <v>53</v>
      </c>
      <c r="D21" s="306">
        <v>8</v>
      </c>
      <c r="E21" s="179">
        <v>1</v>
      </c>
      <c r="F21" s="177">
        <v>1</v>
      </c>
      <c r="G21" s="163">
        <v>1</v>
      </c>
      <c r="H21" s="163">
        <v>1</v>
      </c>
      <c r="K21" s="370" t="s">
        <v>585</v>
      </c>
    </row>
    <row r="22" spans="1:11" ht="15" x14ac:dyDescent="0.2">
      <c r="A22" s="299">
        <v>5</v>
      </c>
      <c r="B22" s="303" t="s">
        <v>55</v>
      </c>
      <c r="C22" s="288" t="s">
        <v>57</v>
      </c>
      <c r="D22" s="308">
        <v>7</v>
      </c>
      <c r="E22" s="179">
        <v>1</v>
      </c>
      <c r="F22" s="177">
        <v>1</v>
      </c>
      <c r="G22" s="163">
        <v>1</v>
      </c>
      <c r="H22" s="163">
        <v>1</v>
      </c>
      <c r="K22" s="177" t="s">
        <v>590</v>
      </c>
    </row>
    <row r="23" spans="1:11" ht="15" x14ac:dyDescent="0.2">
      <c r="A23" s="299">
        <v>6</v>
      </c>
      <c r="B23" s="303" t="s">
        <v>55</v>
      </c>
      <c r="C23" s="288" t="s">
        <v>56</v>
      </c>
      <c r="D23" s="308">
        <v>7</v>
      </c>
      <c r="E23" s="179">
        <v>5</v>
      </c>
      <c r="F23" s="177">
        <v>3</v>
      </c>
      <c r="G23" s="163">
        <v>1</v>
      </c>
      <c r="H23" s="163">
        <v>1</v>
      </c>
      <c r="K23" s="286"/>
    </row>
    <row r="24" spans="1:11" ht="15" x14ac:dyDescent="0.2">
      <c r="A24" s="292">
        <v>7</v>
      </c>
      <c r="B24" s="293" t="s">
        <v>52</v>
      </c>
      <c r="C24" s="294" t="s">
        <v>60</v>
      </c>
      <c r="D24" s="306">
        <v>37</v>
      </c>
      <c r="E24" s="179">
        <v>20</v>
      </c>
      <c r="F24" s="177">
        <v>15</v>
      </c>
      <c r="G24" s="163">
        <v>11</v>
      </c>
    </row>
    <row r="25" spans="1:11" ht="15" x14ac:dyDescent="0.2">
      <c r="A25" s="292">
        <v>8</v>
      </c>
      <c r="B25" s="296" t="s">
        <v>52</v>
      </c>
      <c r="C25" s="297" t="s">
        <v>61</v>
      </c>
      <c r="D25" s="307">
        <v>23</v>
      </c>
      <c r="E25" s="179">
        <v>23</v>
      </c>
      <c r="F25" s="177">
        <v>17</v>
      </c>
      <c r="G25" s="163">
        <v>10</v>
      </c>
    </row>
    <row r="26" spans="1:11" ht="15" x14ac:dyDescent="0.2">
      <c r="A26" s="292">
        <v>9</v>
      </c>
      <c r="B26" s="296" t="s">
        <v>52</v>
      </c>
      <c r="C26" s="297" t="s">
        <v>62</v>
      </c>
      <c r="D26" s="307">
        <v>17</v>
      </c>
      <c r="E26" s="179">
        <v>17</v>
      </c>
      <c r="F26" s="177">
        <v>11</v>
      </c>
      <c r="G26" s="163">
        <v>7</v>
      </c>
    </row>
    <row r="27" spans="1:11" ht="15" x14ac:dyDescent="0.2">
      <c r="A27" s="292">
        <v>10</v>
      </c>
      <c r="B27" s="296" t="s">
        <v>54</v>
      </c>
      <c r="C27" s="297" t="s">
        <v>58</v>
      </c>
      <c r="D27" s="307">
        <v>28</v>
      </c>
      <c r="E27" s="179">
        <v>28</v>
      </c>
      <c r="F27" s="177">
        <v>20</v>
      </c>
      <c r="G27" s="163">
        <v>20</v>
      </c>
    </row>
    <row r="28" spans="1:11" ht="15" x14ac:dyDescent="0.2">
      <c r="A28" s="302">
        <v>11</v>
      </c>
      <c r="B28" s="303" t="s">
        <v>55</v>
      </c>
      <c r="C28" s="304" t="s">
        <v>159</v>
      </c>
      <c r="D28" s="309">
        <v>1</v>
      </c>
      <c r="E28" s="179">
        <v>1</v>
      </c>
      <c r="F28" s="177">
        <v>1</v>
      </c>
      <c r="G28" s="163">
        <v>1</v>
      </c>
      <c r="H28" s="163">
        <v>1</v>
      </c>
    </row>
    <row r="29" spans="1:11" ht="15" x14ac:dyDescent="0.2">
      <c r="A29" s="185"/>
      <c r="B29" s="185"/>
      <c r="C29" s="203" t="s">
        <v>360</v>
      </c>
      <c r="D29" s="282">
        <f>D18*D19*D20*D21*D22*D23*D24*D25*D26*D27</f>
        <v>303447292512</v>
      </c>
      <c r="E29" s="287">
        <f>E18*E19*E20*E21*E22*E23*E24*E25*E26*E27</f>
        <v>49266000</v>
      </c>
      <c r="F29" s="287">
        <f>F18*F19*F20*F21*F22*F23*F24*F25*F26*F27</f>
        <v>1514700</v>
      </c>
      <c r="G29" s="287">
        <f>G18*G19*G20*G21*G22*G23*G24*G25*G26*G27</f>
        <v>15400</v>
      </c>
      <c r="H29" s="287">
        <f>H18*H19*H20*H21*H22*H23*H24*H25*H26*H27</f>
        <v>0</v>
      </c>
    </row>
    <row r="30" spans="1:11" x14ac:dyDescent="0.2">
      <c r="D30" s="178" t="s">
        <v>548</v>
      </c>
      <c r="E30" s="315">
        <f>(1-(49266000/D29))*100</f>
        <v>99.983764561024032</v>
      </c>
      <c r="F30" s="315">
        <f>(1-(F29/E29))*100</f>
        <v>96.925465838509311</v>
      </c>
      <c r="G30" s="315">
        <f>(1-(G29/F29))*100</f>
        <v>98.983297022512701</v>
      </c>
      <c r="H30" s="315">
        <f>(1-(H29/G29))*100</f>
        <v>100</v>
      </c>
    </row>
    <row r="32" spans="1:11" x14ac:dyDescent="0.2">
      <c r="A32" s="163" t="s">
        <v>602</v>
      </c>
    </row>
    <row r="33" spans="1:5" ht="15" x14ac:dyDescent="0.2">
      <c r="A33" s="189" t="s">
        <v>44</v>
      </c>
      <c r="B33" s="189" t="s">
        <v>45</v>
      </c>
      <c r="C33" s="189" t="s">
        <v>556</v>
      </c>
      <c r="D33" s="162" t="s">
        <v>532</v>
      </c>
      <c r="E33" s="177"/>
    </row>
    <row r="34" spans="1:5" ht="15" x14ac:dyDescent="0.2">
      <c r="A34" s="292">
        <v>1</v>
      </c>
      <c r="B34" s="293" t="s">
        <v>54</v>
      </c>
      <c r="C34" s="294" t="s">
        <v>113</v>
      </c>
      <c r="D34" s="295">
        <f>'1. Multirotor Frames'!A23</f>
        <v>1</v>
      </c>
      <c r="E34" s="177"/>
    </row>
    <row r="35" spans="1:5" ht="15" x14ac:dyDescent="0.2">
      <c r="A35" s="292">
        <v>2</v>
      </c>
      <c r="B35" s="293" t="s">
        <v>52</v>
      </c>
      <c r="C35" s="294" t="s">
        <v>114</v>
      </c>
      <c r="D35" s="295">
        <f>'2. Flight Controllers'!A9</f>
        <v>1</v>
      </c>
      <c r="E35" s="177"/>
    </row>
    <row r="36" spans="1:5" ht="15" x14ac:dyDescent="0.2">
      <c r="A36" s="292">
        <v>3</v>
      </c>
      <c r="B36" s="293" t="s">
        <v>52</v>
      </c>
      <c r="C36" s="294" t="s">
        <v>130</v>
      </c>
      <c r="D36" s="295">
        <f>'3. Transmitters'!A17</f>
        <v>1</v>
      </c>
      <c r="E36" s="177"/>
    </row>
    <row r="37" spans="1:5" ht="15" x14ac:dyDescent="0.2">
      <c r="A37" s="292">
        <v>4</v>
      </c>
      <c r="B37" s="293" t="s">
        <v>52</v>
      </c>
      <c r="C37" s="294" t="s">
        <v>53</v>
      </c>
      <c r="D37" s="295">
        <f>'4. Receivers'!A12</f>
        <v>1</v>
      </c>
      <c r="E37" s="177"/>
    </row>
    <row r="38" spans="1:5" ht="15" x14ac:dyDescent="0.2">
      <c r="A38" s="299">
        <v>5</v>
      </c>
      <c r="B38" s="300" t="s">
        <v>55</v>
      </c>
      <c r="C38" s="288" t="s">
        <v>57</v>
      </c>
      <c r="D38" s="301">
        <f>'5. Cameras'!A9</f>
        <v>1</v>
      </c>
      <c r="E38" s="177"/>
    </row>
    <row r="39" spans="1:5" ht="15" x14ac:dyDescent="0.2">
      <c r="A39" s="299">
        <v>6</v>
      </c>
      <c r="B39" s="300" t="s">
        <v>55</v>
      </c>
      <c r="C39" s="288" t="s">
        <v>56</v>
      </c>
      <c r="D39" s="301">
        <f>'6. Gimbals'!A10</f>
        <v>1</v>
      </c>
      <c r="E39" s="177"/>
    </row>
    <row r="40" spans="1:5" ht="15" x14ac:dyDescent="0.2">
      <c r="A40" s="292">
        <v>7</v>
      </c>
      <c r="B40" s="293" t="s">
        <v>52</v>
      </c>
      <c r="C40" s="294" t="s">
        <v>60</v>
      </c>
      <c r="D40" s="295">
        <f>'7. Motors'!A49</f>
        <v>10</v>
      </c>
      <c r="E40" s="177"/>
    </row>
    <row r="41" spans="1:5" ht="15" x14ac:dyDescent="0.2">
      <c r="A41" s="292">
        <v>8</v>
      </c>
      <c r="B41" s="296" t="s">
        <v>52</v>
      </c>
      <c r="C41" s="297" t="s">
        <v>61</v>
      </c>
      <c r="D41" s="298">
        <f>'8. ESCs'!A30</f>
        <v>10</v>
      </c>
      <c r="E41" s="177"/>
    </row>
    <row r="42" spans="1:5" ht="15" x14ac:dyDescent="0.2">
      <c r="A42" s="292">
        <v>9</v>
      </c>
      <c r="B42" s="296" t="s">
        <v>52</v>
      </c>
      <c r="C42" s="297" t="s">
        <v>62</v>
      </c>
      <c r="D42" s="298">
        <f>'9. Batteries'!A19</f>
        <v>7</v>
      </c>
      <c r="E42" s="177"/>
    </row>
    <row r="43" spans="1:5" ht="15" x14ac:dyDescent="0.2">
      <c r="A43" s="292">
        <v>10</v>
      </c>
      <c r="B43" s="296" t="s">
        <v>54</v>
      </c>
      <c r="C43" s="297" t="s">
        <v>58</v>
      </c>
      <c r="D43" s="298">
        <f>'10. Propellers'!A30</f>
        <v>20</v>
      </c>
      <c r="E43" s="177"/>
    </row>
    <row r="44" spans="1:5" ht="15" x14ac:dyDescent="0.2">
      <c r="A44" s="302">
        <v>11</v>
      </c>
      <c r="B44" s="303" t="s">
        <v>55</v>
      </c>
      <c r="C44" s="304" t="s">
        <v>159</v>
      </c>
      <c r="D44" s="305">
        <v>1</v>
      </c>
      <c r="E44" s="177"/>
    </row>
    <row r="45" spans="1:5" ht="15" x14ac:dyDescent="0.2">
      <c r="A45" s="185"/>
      <c r="B45" s="185"/>
      <c r="C45" s="203" t="s">
        <v>360</v>
      </c>
      <c r="D45" s="282">
        <f>D34*D35*D36*D37*D38*D39*D40*D41*D42*D43</f>
        <v>14000</v>
      </c>
      <c r="E45" s="177"/>
    </row>
  </sheetData>
  <mergeCells count="1">
    <mergeCell ref="A15:B15"/>
  </mergeCells>
  <phoneticPr fontId="9" type="noConversion"/>
  <dataValidations count="2">
    <dataValidation type="list" allowBlank="1" showInputMessage="1" showErrorMessage="1" sqref="E6">
      <formula1>RC_Model2</formula1>
    </dataValidation>
    <dataValidation type="list" allowBlank="1" showInputMessage="1" showErrorMessage="1" sqref="E7">
      <formula1>Camera_Model</formula1>
    </dataValidation>
  </dataValidations>
  <pageMargins left="0.7" right="0.7" top="0.75" bottom="0.75" header="0.3" footer="0.3"/>
  <pageSetup scale="47" orientation="portrait" horizontalDpi="4294967292" verticalDpi="4294967292" r:id="rId1"/>
  <extLst>
    <ext xmlns:x14="http://schemas.microsoft.com/office/spreadsheetml/2009/9/main" uri="{CCE6A557-97BC-4b89-ADB6-D9C93CAAB3DF}">
      <x14:dataValidations xmlns:xm="http://schemas.microsoft.com/office/excel/2006/main" count="9">
        <x14:dataValidation type="list" allowBlank="1" showInputMessage="1" showErrorMessage="1">
          <x14:formula1>
            <xm:f>'6. Gimbals'!$C$3:$C$10</xm:f>
          </x14:formula1>
          <xm:sqref>E8</xm:sqref>
        </x14:dataValidation>
        <x14:dataValidation type="list" allowBlank="1" showInputMessage="1" showErrorMessage="1">
          <x14:formula1>
            <xm:f>'2. Flight Controllers'!$C$3:$C$9</xm:f>
          </x14:formula1>
          <xm:sqref>E4</xm:sqref>
        </x14:dataValidation>
        <x14:dataValidation type="list" allowBlank="1" showInputMessage="1" showErrorMessage="1">
          <x14:formula1>
            <xm:f>'1. Multirotor Frames'!$D$3:$D$23</xm:f>
          </x14:formula1>
          <xm:sqref>E3</xm:sqref>
        </x14:dataValidation>
        <x14:dataValidation type="list" allowBlank="1" showInputMessage="1" showErrorMessage="1">
          <x14:formula1>
            <xm:f>'3. Transmitters'!$C$3:$C$17</xm:f>
          </x14:formula1>
          <xm:sqref>E5</xm:sqref>
        </x14:dataValidation>
        <x14:dataValidation type="list" allowBlank="1" showInputMessage="1" showErrorMessage="1">
          <x14:formula1>
            <xm:f>'8. ESCs'!$C$3:$C$25</xm:f>
          </x14:formula1>
          <xm:sqref>E10</xm:sqref>
        </x14:dataValidation>
        <x14:dataValidation type="list" allowBlank="1" showInputMessage="1" showErrorMessage="1">
          <x14:formula1>
            <xm:f>'9. Batteries'!$C$3:$C$19</xm:f>
          </x14:formula1>
          <xm:sqref>E11</xm:sqref>
        </x14:dataValidation>
        <x14:dataValidation type="list" allowBlank="1" showInputMessage="1" showErrorMessage="1">
          <x14:formula1>
            <xm:f>'10. Propellers'!$D$3:$D$30</xm:f>
          </x14:formula1>
          <xm:sqref>E12</xm:sqref>
        </x14:dataValidation>
        <x14:dataValidation type="list" allowBlank="1" showInputMessage="1" showErrorMessage="1">
          <x14:formula1>
            <xm:f>'11. Accessories'!$D$3:$D$4</xm:f>
          </x14:formula1>
          <xm:sqref>E13</xm:sqref>
        </x14:dataValidation>
        <x14:dataValidation type="list" allowBlank="1" showInputMessage="1" showErrorMessage="1">
          <x14:formula1>
            <xm:f>'7. Motors'!$D$2:$D$49</xm:f>
          </x14:formula1>
          <xm:sqref>E9</xm:sqref>
        </x14:dataValidation>
      </x14:dataValidations>
    </ext>
    <ext xmlns:mx="http://schemas.microsoft.com/office/mac/excel/2008/main" uri="{64002731-A6B0-56B0-2670-7721B7C09600}">
      <mx:PLV Mode="1" OnePage="0" WScale="100"/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4"/>
  <sheetViews>
    <sheetView workbookViewId="0">
      <selection activeCell="B4" sqref="B4"/>
    </sheetView>
  </sheetViews>
  <sheetFormatPr defaultColWidth="8.875" defaultRowHeight="15.75" x14ac:dyDescent="0.25"/>
  <cols>
    <col min="2" max="2" width="14.5" style="314" bestFit="1" customWidth="1"/>
    <col min="3" max="3" width="17.625" style="314" bestFit="1" customWidth="1"/>
  </cols>
  <sheetData>
    <row r="1" spans="1:3" x14ac:dyDescent="0.25">
      <c r="A1" t="s">
        <v>558</v>
      </c>
      <c r="B1" s="314" t="s">
        <v>559</v>
      </c>
      <c r="C1" s="314" t="s">
        <v>560</v>
      </c>
    </row>
    <row r="2" spans="1:3" x14ac:dyDescent="0.25">
      <c r="A2" s="313">
        <v>41736</v>
      </c>
      <c r="B2" s="314">
        <v>4638.46</v>
      </c>
      <c r="C2" s="314">
        <v>-253.2</v>
      </c>
    </row>
    <row r="3" spans="1:3" x14ac:dyDescent="0.25">
      <c r="B3" s="314">
        <f>B2-800</f>
        <v>3838.46</v>
      </c>
    </row>
    <row r="4" spans="1:3" x14ac:dyDescent="0.25">
      <c r="B4" s="314">
        <f>B3-699</f>
        <v>3139.46</v>
      </c>
    </row>
  </sheetData>
  <pageMargins left="0.7" right="0.7" top="0.75" bottom="0.75" header="0.3" footer="0.3"/>
  <extLst>
    <ext xmlns:mx="http://schemas.microsoft.com/office/mac/excel/2008/main" uri="{64002731-A6B0-56B0-2670-7721B7C09600}">
      <mx:PLV Mode="0" OnePage="0" WScale="0"/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Q32"/>
  <sheetViews>
    <sheetView view="pageLayout" topLeftCell="A7" workbookViewId="0">
      <selection activeCell="Q23" sqref="Q3:Q23"/>
    </sheetView>
  </sheetViews>
  <sheetFormatPr defaultColWidth="8.875" defaultRowHeight="15.75" x14ac:dyDescent="0.25"/>
  <cols>
    <col min="1" max="1" width="4.625" bestFit="1" customWidth="1"/>
    <col min="2" max="2" width="10.625" bestFit="1" customWidth="1"/>
    <col min="3" max="3" width="14.875" bestFit="1" customWidth="1"/>
    <col min="4" max="4" width="14.5" bestFit="1" customWidth="1"/>
    <col min="5" max="5" width="5.5" customWidth="1"/>
    <col min="6" max="6" width="5.375" bestFit="1" customWidth="1"/>
    <col min="7" max="7" width="8.375" bestFit="1" customWidth="1"/>
    <col min="8" max="8" width="4.875" style="35" bestFit="1" customWidth="1"/>
    <col min="9" max="9" width="4.625" bestFit="1" customWidth="1"/>
    <col min="10" max="10" width="14.375" bestFit="1" customWidth="1"/>
    <col min="11" max="14" width="4.625" bestFit="1" customWidth="1"/>
    <col min="15" max="15" width="7.625" style="35" customWidth="1"/>
    <col min="16" max="16" width="10.625" bestFit="1" customWidth="1"/>
    <col min="17" max="17" width="24.625" style="38" bestFit="1" customWidth="1"/>
  </cols>
  <sheetData>
    <row r="1" spans="1:17" x14ac:dyDescent="0.25">
      <c r="A1" t="s">
        <v>370</v>
      </c>
    </row>
    <row r="2" spans="1:17" s="39" customFormat="1" ht="136.5" x14ac:dyDescent="0.25">
      <c r="A2" s="111" t="s">
        <v>27</v>
      </c>
      <c r="B2" s="196" t="s">
        <v>28</v>
      </c>
      <c r="C2" s="196" t="s">
        <v>29</v>
      </c>
      <c r="D2" s="196" t="s">
        <v>30</v>
      </c>
      <c r="E2" s="197" t="s">
        <v>72</v>
      </c>
      <c r="F2" s="198" t="s">
        <v>73</v>
      </c>
      <c r="G2" s="198" t="s">
        <v>74</v>
      </c>
      <c r="H2" s="211" t="s">
        <v>109</v>
      </c>
      <c r="I2" s="196" t="s">
        <v>97</v>
      </c>
      <c r="J2" s="196" t="s">
        <v>99</v>
      </c>
      <c r="K2" s="15" t="s">
        <v>172</v>
      </c>
      <c r="L2" s="15" t="s">
        <v>173</v>
      </c>
      <c r="M2" s="15" t="s">
        <v>240</v>
      </c>
      <c r="N2" s="15" t="s">
        <v>115</v>
      </c>
      <c r="O2" s="62" t="s">
        <v>235</v>
      </c>
      <c r="P2" s="15" t="s">
        <v>39</v>
      </c>
      <c r="Q2" s="16" t="s">
        <v>14</v>
      </c>
    </row>
    <row r="3" spans="1:17" x14ac:dyDescent="0.25">
      <c r="A3" s="83">
        <v>21</v>
      </c>
      <c r="B3" s="84" t="s">
        <v>79</v>
      </c>
      <c r="C3" s="84" t="s">
        <v>174</v>
      </c>
      <c r="D3" s="84" t="s">
        <v>175</v>
      </c>
      <c r="E3" s="207" t="s">
        <v>80</v>
      </c>
      <c r="F3" s="208" t="s">
        <v>42</v>
      </c>
      <c r="G3" s="209">
        <v>770</v>
      </c>
      <c r="H3" s="210">
        <f t="shared" ref="H3:H23" si="0">G3/25.4</f>
        <v>30.314960629921263</v>
      </c>
      <c r="I3" s="205" t="s">
        <v>98</v>
      </c>
      <c r="J3" s="204" t="s">
        <v>101</v>
      </c>
      <c r="K3" s="87" t="s">
        <v>94</v>
      </c>
      <c r="L3" s="212">
        <v>14</v>
      </c>
      <c r="M3" s="87" t="s">
        <v>94</v>
      </c>
      <c r="N3" s="87" t="s">
        <v>94</v>
      </c>
      <c r="O3" s="86" t="s">
        <v>42</v>
      </c>
      <c r="P3" s="157">
        <v>1922.69</v>
      </c>
      <c r="Q3" s="89" t="s">
        <v>245</v>
      </c>
    </row>
    <row r="4" spans="1:17" x14ac:dyDescent="0.25">
      <c r="A4" s="83"/>
      <c r="B4" s="84" t="s">
        <v>79</v>
      </c>
      <c r="C4" s="84" t="s">
        <v>174</v>
      </c>
      <c r="D4" s="84" t="s">
        <v>176</v>
      </c>
      <c r="E4" s="207" t="s">
        <v>81</v>
      </c>
      <c r="F4" s="208">
        <v>2415</v>
      </c>
      <c r="G4" s="209">
        <v>940</v>
      </c>
      <c r="H4" s="210">
        <f t="shared" si="0"/>
        <v>37.007874015748037</v>
      </c>
      <c r="I4" s="205" t="s">
        <v>98</v>
      </c>
      <c r="J4" s="204" t="s">
        <v>101</v>
      </c>
      <c r="K4" s="87" t="s">
        <v>94</v>
      </c>
      <c r="L4" s="212">
        <v>13</v>
      </c>
      <c r="M4" s="87" t="s">
        <v>94</v>
      </c>
      <c r="N4" s="87" t="s">
        <v>94</v>
      </c>
      <c r="O4" s="86" t="s">
        <v>42</v>
      </c>
      <c r="P4" s="157">
        <v>2091.5700000000002</v>
      </c>
      <c r="Q4" s="90" t="s">
        <v>245</v>
      </c>
    </row>
    <row r="5" spans="1:17" x14ac:dyDescent="0.25">
      <c r="A5" s="83"/>
      <c r="B5" s="84" t="s">
        <v>79</v>
      </c>
      <c r="C5" s="84" t="s">
        <v>170</v>
      </c>
      <c r="D5" s="84" t="s">
        <v>177</v>
      </c>
      <c r="E5" s="207" t="s">
        <v>80</v>
      </c>
      <c r="F5" s="208" t="s">
        <v>42</v>
      </c>
      <c r="G5" s="209">
        <v>1080</v>
      </c>
      <c r="H5" s="210">
        <f t="shared" si="0"/>
        <v>42.519685039370081</v>
      </c>
      <c r="I5" s="205" t="s">
        <v>98</v>
      </c>
      <c r="J5" s="204" t="s">
        <v>101</v>
      </c>
      <c r="K5" s="87" t="s">
        <v>94</v>
      </c>
      <c r="L5" s="212">
        <v>17</v>
      </c>
      <c r="M5" s="87" t="s">
        <v>94</v>
      </c>
      <c r="N5" s="87" t="s">
        <v>94</v>
      </c>
      <c r="O5" s="86" t="s">
        <v>42</v>
      </c>
      <c r="P5" s="157">
        <v>2684.83</v>
      </c>
      <c r="Q5" s="90" t="s">
        <v>245</v>
      </c>
    </row>
    <row r="6" spans="1:17" x14ac:dyDescent="0.25">
      <c r="A6" s="83"/>
      <c r="B6" s="84" t="s">
        <v>79</v>
      </c>
      <c r="C6" s="84" t="s">
        <v>170</v>
      </c>
      <c r="D6" s="84" t="s">
        <v>178</v>
      </c>
      <c r="E6" s="207" t="s">
        <v>81</v>
      </c>
      <c r="F6" s="208" t="s">
        <v>42</v>
      </c>
      <c r="G6" s="209">
        <v>1160</v>
      </c>
      <c r="H6" s="210">
        <f t="shared" si="0"/>
        <v>45.669291338582681</v>
      </c>
      <c r="I6" s="206" t="s">
        <v>98</v>
      </c>
      <c r="J6" s="204" t="s">
        <v>101</v>
      </c>
      <c r="K6" s="87" t="s">
        <v>94</v>
      </c>
      <c r="L6" s="212">
        <v>15</v>
      </c>
      <c r="M6" s="87" t="s">
        <v>94</v>
      </c>
      <c r="N6" s="87" t="s">
        <v>94</v>
      </c>
      <c r="O6" s="86" t="s">
        <v>42</v>
      </c>
      <c r="P6" s="157">
        <v>3057.25</v>
      </c>
      <c r="Q6" s="90" t="s">
        <v>245</v>
      </c>
    </row>
    <row r="7" spans="1:17" x14ac:dyDescent="0.25">
      <c r="A7" s="83"/>
      <c r="B7" s="84" t="s">
        <v>79</v>
      </c>
      <c r="C7" s="84" t="s">
        <v>170</v>
      </c>
      <c r="D7" s="84" t="s">
        <v>171</v>
      </c>
      <c r="E7" s="207" t="s">
        <v>81</v>
      </c>
      <c r="F7" s="208" t="s">
        <v>42</v>
      </c>
      <c r="G7" s="209">
        <v>900</v>
      </c>
      <c r="H7" s="210">
        <f t="shared" si="0"/>
        <v>35.433070866141733</v>
      </c>
      <c r="I7" s="205" t="s">
        <v>98</v>
      </c>
      <c r="J7" s="204" t="s">
        <v>101</v>
      </c>
      <c r="K7" s="87" t="s">
        <v>94</v>
      </c>
      <c r="L7" s="212">
        <v>15</v>
      </c>
      <c r="M7" s="87" t="s">
        <v>94</v>
      </c>
      <c r="N7" s="87" t="s">
        <v>94</v>
      </c>
      <c r="O7" s="86" t="s">
        <v>42</v>
      </c>
      <c r="P7" s="157">
        <v>2702.15</v>
      </c>
      <c r="Q7" s="90" t="s">
        <v>245</v>
      </c>
    </row>
    <row r="8" spans="1:17" s="92" customFormat="1" x14ac:dyDescent="0.25">
      <c r="A8" s="83"/>
      <c r="B8" s="84" t="s">
        <v>137</v>
      </c>
      <c r="C8" s="84" t="s">
        <v>106</v>
      </c>
      <c r="D8" s="84" t="s">
        <v>237</v>
      </c>
      <c r="E8" s="207" t="s">
        <v>80</v>
      </c>
      <c r="F8" s="208" t="s">
        <v>42</v>
      </c>
      <c r="G8" s="209">
        <v>1000</v>
      </c>
      <c r="H8" s="210">
        <f t="shared" si="0"/>
        <v>39.370078740157481</v>
      </c>
      <c r="I8" s="205" t="s">
        <v>98</v>
      </c>
      <c r="J8" s="204" t="s">
        <v>100</v>
      </c>
      <c r="K8" s="87" t="s">
        <v>116</v>
      </c>
      <c r="L8" s="212" t="s">
        <v>42</v>
      </c>
      <c r="M8" s="320" t="s">
        <v>116</v>
      </c>
      <c r="N8" s="87" t="s">
        <v>94</v>
      </c>
      <c r="O8" s="86" t="s">
        <v>42</v>
      </c>
      <c r="P8" s="88">
        <v>350</v>
      </c>
      <c r="Q8" s="221" t="s">
        <v>248</v>
      </c>
    </row>
    <row r="9" spans="1:17" s="92" customFormat="1" x14ac:dyDescent="0.25">
      <c r="A9" s="83"/>
      <c r="B9" s="84" t="s">
        <v>137</v>
      </c>
      <c r="C9" s="84" t="s">
        <v>106</v>
      </c>
      <c r="D9" s="84" t="s">
        <v>232</v>
      </c>
      <c r="E9" s="207" t="s">
        <v>80</v>
      </c>
      <c r="F9" s="357">
        <v>1400</v>
      </c>
      <c r="G9" s="209">
        <v>1050</v>
      </c>
      <c r="H9" s="210">
        <f t="shared" si="0"/>
        <v>41.338582677165356</v>
      </c>
      <c r="I9" s="205" t="s">
        <v>98</v>
      </c>
      <c r="J9" s="204" t="s">
        <v>100</v>
      </c>
      <c r="K9" s="87" t="s">
        <v>116</v>
      </c>
      <c r="L9" s="212">
        <v>17</v>
      </c>
      <c r="M9" s="87" t="s">
        <v>94</v>
      </c>
      <c r="N9" s="87" t="s">
        <v>94</v>
      </c>
      <c r="O9" s="86" t="s">
        <v>42</v>
      </c>
      <c r="P9" s="88">
        <v>349</v>
      </c>
      <c r="Q9" s="221" t="s">
        <v>248</v>
      </c>
    </row>
    <row r="10" spans="1:17" s="92" customFormat="1" x14ac:dyDescent="0.25">
      <c r="A10" s="83"/>
      <c r="B10" s="84" t="s">
        <v>137</v>
      </c>
      <c r="C10" s="84" t="s">
        <v>106</v>
      </c>
      <c r="D10" s="84" t="s">
        <v>231</v>
      </c>
      <c r="E10" s="207" t="s">
        <v>80</v>
      </c>
      <c r="F10" s="208" t="s">
        <v>42</v>
      </c>
      <c r="G10" s="222">
        <v>680</v>
      </c>
      <c r="H10" s="210">
        <f t="shared" si="0"/>
        <v>26.771653543307089</v>
      </c>
      <c r="I10" s="205" t="s">
        <v>98</v>
      </c>
      <c r="J10" s="204" t="s">
        <v>100</v>
      </c>
      <c r="K10" s="87" t="s">
        <v>116</v>
      </c>
      <c r="L10" s="212" t="s">
        <v>42</v>
      </c>
      <c r="M10" s="87" t="s">
        <v>94</v>
      </c>
      <c r="N10" s="87" t="s">
        <v>94</v>
      </c>
      <c r="O10" s="86" t="s">
        <v>42</v>
      </c>
      <c r="P10" s="88">
        <v>195</v>
      </c>
      <c r="Q10" s="221" t="s">
        <v>248</v>
      </c>
    </row>
    <row r="11" spans="1:17" s="92" customFormat="1" x14ac:dyDescent="0.25">
      <c r="A11" s="83"/>
      <c r="B11" s="84" t="s">
        <v>78</v>
      </c>
      <c r="C11" s="84" t="s">
        <v>106</v>
      </c>
      <c r="D11" s="84" t="s">
        <v>105</v>
      </c>
      <c r="E11" s="207" t="s">
        <v>80</v>
      </c>
      <c r="F11" s="208">
        <v>720</v>
      </c>
      <c r="G11" s="209">
        <v>650</v>
      </c>
      <c r="H11" s="210">
        <f t="shared" si="0"/>
        <v>25.590551181102363</v>
      </c>
      <c r="I11" s="206" t="s">
        <v>98</v>
      </c>
      <c r="J11" s="204" t="s">
        <v>249</v>
      </c>
      <c r="K11" s="87" t="s">
        <v>116</v>
      </c>
      <c r="L11" s="212" t="s">
        <v>42</v>
      </c>
      <c r="M11" s="320" t="s">
        <v>116</v>
      </c>
      <c r="N11" s="87" t="s">
        <v>94</v>
      </c>
      <c r="O11" s="86" t="s">
        <v>252</v>
      </c>
      <c r="P11" s="88">
        <v>549</v>
      </c>
      <c r="Q11" s="90" t="s">
        <v>246</v>
      </c>
    </row>
    <row r="12" spans="1:17" s="92" customFormat="1" x14ac:dyDescent="0.25">
      <c r="A12" s="83"/>
      <c r="B12" s="84" t="s">
        <v>78</v>
      </c>
      <c r="C12" s="84" t="s">
        <v>106</v>
      </c>
      <c r="D12" s="84" t="s">
        <v>108</v>
      </c>
      <c r="E12" s="207" t="s">
        <v>80</v>
      </c>
      <c r="F12" s="208">
        <v>780</v>
      </c>
      <c r="G12" s="209">
        <v>950</v>
      </c>
      <c r="H12" s="210">
        <f t="shared" si="0"/>
        <v>37.401574803149607</v>
      </c>
      <c r="I12" s="206" t="s">
        <v>98</v>
      </c>
      <c r="J12" s="204" t="s">
        <v>249</v>
      </c>
      <c r="K12" s="87" t="s">
        <v>116</v>
      </c>
      <c r="L12" s="212" t="s">
        <v>42</v>
      </c>
      <c r="M12" s="320" t="s">
        <v>116</v>
      </c>
      <c r="N12" s="87" t="s">
        <v>94</v>
      </c>
      <c r="O12" s="86" t="s">
        <v>254</v>
      </c>
      <c r="P12" s="88">
        <v>590</v>
      </c>
      <c r="Q12" s="90" t="s">
        <v>246</v>
      </c>
    </row>
    <row r="13" spans="1:17" s="92" customFormat="1" x14ac:dyDescent="0.25">
      <c r="A13" s="83"/>
      <c r="B13" s="84" t="s">
        <v>78</v>
      </c>
      <c r="C13" s="84" t="s">
        <v>104</v>
      </c>
      <c r="D13" s="84" t="s">
        <v>95</v>
      </c>
      <c r="E13" s="207" t="s">
        <v>81</v>
      </c>
      <c r="F13" s="208">
        <v>600</v>
      </c>
      <c r="G13" s="222">
        <v>650</v>
      </c>
      <c r="H13" s="210">
        <f t="shared" si="0"/>
        <v>25.590551181102363</v>
      </c>
      <c r="I13" s="206" t="s">
        <v>98</v>
      </c>
      <c r="J13" s="204" t="s">
        <v>249</v>
      </c>
      <c r="K13" s="87" t="s">
        <v>116</v>
      </c>
      <c r="L13" s="212" t="s">
        <v>42</v>
      </c>
      <c r="M13" s="87" t="s">
        <v>116</v>
      </c>
      <c r="N13" s="87" t="s">
        <v>116</v>
      </c>
      <c r="O13" s="86" t="s">
        <v>42</v>
      </c>
      <c r="P13" s="88">
        <v>385</v>
      </c>
      <c r="Q13" s="90" t="s">
        <v>247</v>
      </c>
    </row>
    <row r="14" spans="1:17" s="92" customFormat="1" x14ac:dyDescent="0.25">
      <c r="A14" s="83"/>
      <c r="B14" s="84" t="s">
        <v>78</v>
      </c>
      <c r="C14" s="84" t="s">
        <v>104</v>
      </c>
      <c r="D14" s="84" t="s">
        <v>96</v>
      </c>
      <c r="E14" s="318" t="s">
        <v>81</v>
      </c>
      <c r="F14" s="208">
        <v>655</v>
      </c>
      <c r="G14" s="209">
        <v>950</v>
      </c>
      <c r="H14" s="210">
        <f t="shared" si="0"/>
        <v>37.401574803149607</v>
      </c>
      <c r="I14" s="206" t="s">
        <v>98</v>
      </c>
      <c r="J14" s="204" t="s">
        <v>249</v>
      </c>
      <c r="K14" s="87" t="s">
        <v>116</v>
      </c>
      <c r="L14" s="212" t="s">
        <v>42</v>
      </c>
      <c r="M14" s="87" t="s">
        <v>116</v>
      </c>
      <c r="N14" s="87" t="s">
        <v>116</v>
      </c>
      <c r="O14" s="86" t="s">
        <v>42</v>
      </c>
      <c r="P14" s="88">
        <v>435</v>
      </c>
      <c r="Q14" s="90" t="s">
        <v>247</v>
      </c>
    </row>
    <row r="15" spans="1:17" x14ac:dyDescent="0.25">
      <c r="A15" s="83"/>
      <c r="B15" s="84" t="s">
        <v>78</v>
      </c>
      <c r="C15" s="84" t="s">
        <v>82</v>
      </c>
      <c r="D15" s="84" t="s">
        <v>107</v>
      </c>
      <c r="E15" s="207" t="s">
        <v>81</v>
      </c>
      <c r="F15" s="208">
        <v>1230</v>
      </c>
      <c r="G15" s="209">
        <v>800</v>
      </c>
      <c r="H15" s="210">
        <f t="shared" si="0"/>
        <v>31.496062992125985</v>
      </c>
      <c r="I15" s="206" t="s">
        <v>98</v>
      </c>
      <c r="J15" s="204" t="s">
        <v>249</v>
      </c>
      <c r="K15" s="87" t="s">
        <v>116</v>
      </c>
      <c r="L15" s="212" t="s">
        <v>42</v>
      </c>
      <c r="M15" s="87" t="s">
        <v>94</v>
      </c>
      <c r="N15" s="87" t="s">
        <v>94</v>
      </c>
      <c r="O15" s="86" t="s">
        <v>42</v>
      </c>
      <c r="P15" s="157">
        <v>1100</v>
      </c>
      <c r="Q15" s="90" t="s">
        <v>251</v>
      </c>
    </row>
    <row r="16" spans="1:17" x14ac:dyDescent="0.25">
      <c r="A16" s="83"/>
      <c r="B16" s="84" t="s">
        <v>68</v>
      </c>
      <c r="C16" s="84" t="s">
        <v>77</v>
      </c>
      <c r="D16" s="84" t="s">
        <v>76</v>
      </c>
      <c r="E16" s="207" t="s">
        <v>81</v>
      </c>
      <c r="F16" s="208">
        <v>4200</v>
      </c>
      <c r="G16" s="209">
        <v>1000</v>
      </c>
      <c r="H16" s="210">
        <f t="shared" si="0"/>
        <v>39.370078740157481</v>
      </c>
      <c r="I16" s="206" t="s">
        <v>98</v>
      </c>
      <c r="J16" s="204" t="s">
        <v>100</v>
      </c>
      <c r="K16" s="87" t="s">
        <v>94</v>
      </c>
      <c r="L16" s="212">
        <v>15</v>
      </c>
      <c r="M16" s="87" t="s">
        <v>94</v>
      </c>
      <c r="N16" s="87" t="s">
        <v>94</v>
      </c>
      <c r="O16" s="86">
        <v>5.8</v>
      </c>
      <c r="P16" s="157">
        <v>3939</v>
      </c>
      <c r="Q16" s="90" t="s">
        <v>244</v>
      </c>
    </row>
    <row r="17" spans="1:17" x14ac:dyDescent="0.25">
      <c r="A17" s="83"/>
      <c r="B17" s="84" t="s">
        <v>68</v>
      </c>
      <c r="C17" s="84" t="s">
        <v>77</v>
      </c>
      <c r="D17" s="84" t="s">
        <v>75</v>
      </c>
      <c r="E17" s="207" t="s">
        <v>80</v>
      </c>
      <c r="F17" s="208">
        <v>3700</v>
      </c>
      <c r="G17" s="209">
        <v>800</v>
      </c>
      <c r="H17" s="210">
        <f t="shared" si="0"/>
        <v>31.496062992125985</v>
      </c>
      <c r="I17" s="206" t="s">
        <v>98</v>
      </c>
      <c r="J17" s="204" t="s">
        <v>100</v>
      </c>
      <c r="K17" s="87" t="s">
        <v>94</v>
      </c>
      <c r="L17" s="212">
        <v>15</v>
      </c>
      <c r="M17" s="87" t="s">
        <v>116</v>
      </c>
      <c r="N17" s="87" t="s">
        <v>94</v>
      </c>
      <c r="O17" s="86">
        <v>4.3</v>
      </c>
      <c r="P17" s="157">
        <v>2999</v>
      </c>
      <c r="Q17" s="90" t="s">
        <v>244</v>
      </c>
    </row>
    <row r="18" spans="1:17" s="92" customFormat="1" x14ac:dyDescent="0.25">
      <c r="A18" s="83"/>
      <c r="B18" s="84" t="s">
        <v>141</v>
      </c>
      <c r="C18" s="84" t="s">
        <v>106</v>
      </c>
      <c r="D18" s="84" t="s">
        <v>239</v>
      </c>
      <c r="E18" s="207" t="s">
        <v>80</v>
      </c>
      <c r="F18" s="208">
        <v>1020</v>
      </c>
      <c r="G18" s="209">
        <v>850</v>
      </c>
      <c r="H18" s="210">
        <f t="shared" si="0"/>
        <v>33.464566929133859</v>
      </c>
      <c r="I18" s="205" t="s">
        <v>98</v>
      </c>
      <c r="J18" s="204" t="s">
        <v>100</v>
      </c>
      <c r="K18" s="87" t="s">
        <v>116</v>
      </c>
      <c r="L18" s="212">
        <v>15</v>
      </c>
      <c r="M18" s="87" t="s">
        <v>94</v>
      </c>
      <c r="N18" s="87" t="s">
        <v>94</v>
      </c>
      <c r="O18" s="359">
        <v>3</v>
      </c>
      <c r="P18" s="88">
        <f>339+105</f>
        <v>444</v>
      </c>
      <c r="Q18" s="90" t="s">
        <v>250</v>
      </c>
    </row>
    <row r="19" spans="1:17" s="219" customFormat="1" x14ac:dyDescent="0.25">
      <c r="A19" s="260"/>
      <c r="B19" s="261" t="s">
        <v>141</v>
      </c>
      <c r="C19" s="261" t="s">
        <v>106</v>
      </c>
      <c r="D19" s="261" t="s">
        <v>234</v>
      </c>
      <c r="E19" s="361" t="s">
        <v>80</v>
      </c>
      <c r="F19" s="362">
        <v>1050</v>
      </c>
      <c r="G19" s="363">
        <v>960</v>
      </c>
      <c r="H19" s="364">
        <f t="shared" si="0"/>
        <v>37.795275590551185</v>
      </c>
      <c r="I19" s="365" t="s">
        <v>98</v>
      </c>
      <c r="J19" s="366" t="s">
        <v>100</v>
      </c>
      <c r="K19" s="264" t="s">
        <v>116</v>
      </c>
      <c r="L19" s="367">
        <v>18</v>
      </c>
      <c r="M19" s="264" t="s">
        <v>94</v>
      </c>
      <c r="N19" s="264" t="s">
        <v>94</v>
      </c>
      <c r="O19" s="30">
        <v>3.5</v>
      </c>
      <c r="P19" s="355">
        <f>339+105</f>
        <v>444</v>
      </c>
      <c r="Q19" s="368" t="s">
        <v>250</v>
      </c>
    </row>
    <row r="20" spans="1:17" s="92" customFormat="1" x14ac:dyDescent="0.25">
      <c r="A20" s="83"/>
      <c r="B20" s="84" t="s">
        <v>141</v>
      </c>
      <c r="C20" s="84" t="s">
        <v>104</v>
      </c>
      <c r="D20" s="84" t="s">
        <v>236</v>
      </c>
      <c r="E20" s="318" t="s">
        <v>81</v>
      </c>
      <c r="F20" s="208">
        <v>1950</v>
      </c>
      <c r="G20" s="209">
        <v>1020</v>
      </c>
      <c r="H20" s="210">
        <f t="shared" si="0"/>
        <v>40.15748031496063</v>
      </c>
      <c r="I20" s="205" t="s">
        <v>98</v>
      </c>
      <c r="J20" s="204" t="s">
        <v>100</v>
      </c>
      <c r="K20" s="87" t="s">
        <v>116</v>
      </c>
      <c r="L20" s="212">
        <v>15</v>
      </c>
      <c r="M20" s="87" t="s">
        <v>94</v>
      </c>
      <c r="N20" s="87" t="s">
        <v>94</v>
      </c>
      <c r="O20" s="86" t="s">
        <v>253</v>
      </c>
      <c r="P20" s="88">
        <v>619</v>
      </c>
      <c r="Q20" s="90" t="s">
        <v>250</v>
      </c>
    </row>
    <row r="21" spans="1:17" s="92" customFormat="1" x14ac:dyDescent="0.25">
      <c r="A21" s="83"/>
      <c r="B21" s="84" t="s">
        <v>141</v>
      </c>
      <c r="C21" s="84" t="s">
        <v>106</v>
      </c>
      <c r="D21" s="84" t="s">
        <v>196</v>
      </c>
      <c r="E21" s="207" t="s">
        <v>80</v>
      </c>
      <c r="F21" s="208">
        <v>600</v>
      </c>
      <c r="G21" s="222">
        <v>680</v>
      </c>
      <c r="H21" s="210">
        <f t="shared" si="0"/>
        <v>26.771653543307089</v>
      </c>
      <c r="I21" s="205" t="s">
        <v>98</v>
      </c>
      <c r="J21" s="204" t="s">
        <v>100</v>
      </c>
      <c r="K21" s="87" t="s">
        <v>116</v>
      </c>
      <c r="L21" s="212">
        <v>13</v>
      </c>
      <c r="M21" s="87" t="s">
        <v>94</v>
      </c>
      <c r="N21" s="87" t="s">
        <v>94</v>
      </c>
      <c r="O21" s="86" t="s">
        <v>42</v>
      </c>
      <c r="P21" s="88">
        <v>169.99</v>
      </c>
      <c r="Q21" s="90" t="s">
        <v>250</v>
      </c>
    </row>
    <row r="22" spans="1:17" s="92" customFormat="1" x14ac:dyDescent="0.25">
      <c r="A22" s="83"/>
      <c r="B22" s="84" t="s">
        <v>141</v>
      </c>
      <c r="C22" s="84" t="s">
        <v>106</v>
      </c>
      <c r="D22" s="84" t="s">
        <v>238</v>
      </c>
      <c r="E22" s="207" t="s">
        <v>80</v>
      </c>
      <c r="F22" s="208">
        <v>600</v>
      </c>
      <c r="G22" s="222">
        <v>690</v>
      </c>
      <c r="H22" s="210">
        <f t="shared" si="0"/>
        <v>27.165354330708663</v>
      </c>
      <c r="I22" s="205" t="s">
        <v>98</v>
      </c>
      <c r="J22" s="204" t="s">
        <v>100</v>
      </c>
      <c r="K22" s="87" t="s">
        <v>116</v>
      </c>
      <c r="L22" s="212">
        <v>13</v>
      </c>
      <c r="M22" s="87" t="s">
        <v>94</v>
      </c>
      <c r="N22" s="87" t="s">
        <v>94</v>
      </c>
      <c r="O22" s="86" t="s">
        <v>42</v>
      </c>
      <c r="P22" s="88">
        <v>199</v>
      </c>
      <c r="Q22" s="90" t="s">
        <v>250</v>
      </c>
    </row>
    <row r="23" spans="1:17" s="92" customFormat="1" x14ac:dyDescent="0.25">
      <c r="A23" s="83">
        <v>1</v>
      </c>
      <c r="B23" s="84" t="s">
        <v>141</v>
      </c>
      <c r="C23" s="84" t="s">
        <v>104</v>
      </c>
      <c r="D23" s="84" t="s">
        <v>233</v>
      </c>
      <c r="E23" s="318" t="s">
        <v>81</v>
      </c>
      <c r="F23" s="208">
        <v>1500</v>
      </c>
      <c r="G23" s="209">
        <v>1020</v>
      </c>
      <c r="H23" s="210">
        <f t="shared" si="0"/>
        <v>40.15748031496063</v>
      </c>
      <c r="I23" s="205" t="s">
        <v>98</v>
      </c>
      <c r="J23" s="204" t="s">
        <v>100</v>
      </c>
      <c r="K23" s="87" t="s">
        <v>116</v>
      </c>
      <c r="L23" s="212">
        <v>15</v>
      </c>
      <c r="M23" s="87" t="s">
        <v>116</v>
      </c>
      <c r="N23" s="87" t="s">
        <v>94</v>
      </c>
      <c r="O23" s="86">
        <v>8</v>
      </c>
      <c r="P23" s="88">
        <v>399</v>
      </c>
      <c r="Q23" s="221" t="s">
        <v>250</v>
      </c>
    </row>
    <row r="24" spans="1:17" s="44" customFormat="1" x14ac:dyDescent="0.25">
      <c r="E24" s="46" t="s">
        <v>241</v>
      </c>
      <c r="F24" s="70">
        <f>MIN(F3:F23)</f>
        <v>600</v>
      </c>
      <c r="G24" s="70">
        <f>MIN(G3:G23)</f>
        <v>650</v>
      </c>
      <c r="H24" s="70">
        <f>MIN(H3:H23)</f>
        <v>25.590551181102363</v>
      </c>
      <c r="I24" s="70"/>
      <c r="J24" s="70"/>
      <c r="K24" s="70"/>
      <c r="L24" s="70">
        <f t="shared" ref="L24" si="1">MIN(L3:L23)</f>
        <v>13</v>
      </c>
      <c r="O24" s="63"/>
      <c r="P24" s="71">
        <f>MIN(P8:P14,P18:P23)</f>
        <v>169.99</v>
      </c>
      <c r="Q24" s="45">
        <f ca="1">NOW()</f>
        <v>41741.59949479167</v>
      </c>
    </row>
    <row r="25" spans="1:17" s="44" customFormat="1" x14ac:dyDescent="0.25">
      <c r="E25" s="74" t="s">
        <v>255</v>
      </c>
      <c r="F25" s="70">
        <f>MAX(F3:F23)</f>
        <v>4200</v>
      </c>
      <c r="G25" s="70">
        <f>MAX(G3:G23)</f>
        <v>1160</v>
      </c>
      <c r="H25" s="70">
        <f>MAX(H3:H23)</f>
        <v>45.669291338582681</v>
      </c>
      <c r="I25" s="70"/>
      <c r="J25" s="70"/>
      <c r="K25" s="70"/>
      <c r="L25" s="70">
        <f t="shared" ref="L25" si="2">MAX(L3:L23)</f>
        <v>18</v>
      </c>
      <c r="O25" s="63"/>
      <c r="P25" s="72">
        <f>MAX(P8:P14,P18:P23)</f>
        <v>619</v>
      </c>
      <c r="Q25" s="73"/>
    </row>
    <row r="26" spans="1:17" s="46" customFormat="1" x14ac:dyDescent="0.25">
      <c r="A26" s="75"/>
      <c r="B26" s="75"/>
      <c r="C26" s="214"/>
      <c r="D26" s="75"/>
      <c r="E26" s="41" t="s">
        <v>256</v>
      </c>
      <c r="F26" s="76">
        <f>AVERAGE(Frame_Mass)</f>
        <v>1494.6666666666667</v>
      </c>
      <c r="G26" s="43">
        <f>AVERAGE(G3:G23)</f>
        <v>885.71428571428567</v>
      </c>
      <c r="H26" s="43">
        <f>AVERAGE(H3:H23)</f>
        <v>34.870641169853769</v>
      </c>
      <c r="I26" s="43"/>
      <c r="J26" s="43"/>
      <c r="K26" s="43"/>
      <c r="L26" s="43">
        <f t="shared" ref="L26" si="3">AVERAGE(L3:L23)</f>
        <v>15</v>
      </c>
      <c r="M26" s="43"/>
      <c r="N26" s="43"/>
      <c r="O26" s="49"/>
      <c r="P26" s="77">
        <f>AVERAGE(P8:P14,P18:P23)</f>
        <v>394.46076923076919</v>
      </c>
      <c r="Q26" s="78"/>
    </row>
    <row r="27" spans="1:17" x14ac:dyDescent="0.25">
      <c r="B27" t="s">
        <v>574</v>
      </c>
    </row>
    <row r="28" spans="1:17" x14ac:dyDescent="0.25">
      <c r="B28" s="92" t="s">
        <v>544</v>
      </c>
      <c r="C28" s="92" t="s">
        <v>565</v>
      </c>
      <c r="D28" s="92" t="s">
        <v>580</v>
      </c>
    </row>
    <row r="29" spans="1:17" x14ac:dyDescent="0.25">
      <c r="B29" s="218" t="s">
        <v>312</v>
      </c>
      <c r="C29" s="319" t="s">
        <v>566</v>
      </c>
      <c r="D29" s="358" t="s">
        <v>582</v>
      </c>
    </row>
    <row r="30" spans="1:17" x14ac:dyDescent="0.25">
      <c r="B30" s="220" t="s">
        <v>543</v>
      </c>
      <c r="C30" s="321" t="s">
        <v>567</v>
      </c>
      <c r="D30" s="360" t="s">
        <v>583</v>
      </c>
    </row>
    <row r="32" spans="1:17" x14ac:dyDescent="0.25">
      <c r="B32" s="219" t="s">
        <v>584</v>
      </c>
    </row>
  </sheetData>
  <sortState ref="B2:R22">
    <sortCondition ref="B2:B22"/>
    <sortCondition ref="C2:C22"/>
    <sortCondition ref="D2:D22"/>
  </sortState>
  <phoneticPr fontId="9" type="noConversion"/>
  <hyperlinks>
    <hyperlink ref="Q16" r:id="rId1"/>
    <hyperlink ref="Q6" r:id="rId2"/>
    <hyperlink ref="Q17" r:id="rId3"/>
    <hyperlink ref="Q7" r:id="rId4"/>
    <hyperlink ref="Q5" r:id="rId5"/>
    <hyperlink ref="Q4" r:id="rId6"/>
    <hyperlink ref="Q3" r:id="rId7"/>
    <hyperlink ref="Q12" r:id="rId8"/>
    <hyperlink ref="Q11" r:id="rId9"/>
    <hyperlink ref="Q14" r:id="rId10"/>
    <hyperlink ref="Q13" r:id="rId11"/>
    <hyperlink ref="Q9" r:id="rId12"/>
    <hyperlink ref="Q8" r:id="rId13"/>
    <hyperlink ref="Q10" r:id="rId14"/>
    <hyperlink ref="Q18" r:id="rId15"/>
    <hyperlink ref="Q19" r:id="rId16"/>
    <hyperlink ref="Q20" r:id="rId17"/>
    <hyperlink ref="Q21" r:id="rId18"/>
    <hyperlink ref="Q22" r:id="rId19"/>
    <hyperlink ref="Q23" r:id="rId20"/>
    <hyperlink ref="Q15" r:id="rId21"/>
  </hyperlinks>
  <pageMargins left="0.7" right="0.7" top="0.75" bottom="0.75" header="0.3" footer="0.3"/>
  <pageSetup scale="77" orientation="landscape" horizontalDpi="4294967292" verticalDpi="4294967292" r:id="rId22"/>
  <extLst>
    <ext xmlns:mx="http://schemas.microsoft.com/office/mac/excel/2008/main" uri="{64002731-A6B0-56B0-2670-7721B7C09600}">
      <mx:PLV Mode="1" OnePage="0" WScale="100"/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0"/>
  <sheetViews>
    <sheetView view="pageLayout" zoomScale="125" zoomScalePageLayoutView="125" workbookViewId="0">
      <selection activeCell="K3" sqref="K3:K9"/>
    </sheetView>
  </sheetViews>
  <sheetFormatPr defaultColWidth="8.875" defaultRowHeight="15.75" x14ac:dyDescent="0.25"/>
  <cols>
    <col min="1" max="1" width="5" bestFit="1" customWidth="1"/>
    <col min="2" max="2" width="10.125" bestFit="1" customWidth="1"/>
    <col min="3" max="3" width="16.5" bestFit="1" customWidth="1"/>
    <col min="4" max="5" width="4.625" bestFit="1" customWidth="1"/>
    <col min="6" max="6" width="4.625" style="23" bestFit="1" customWidth="1"/>
    <col min="7" max="7" width="4.625" bestFit="1" customWidth="1"/>
    <col min="8" max="8" width="4.875" style="23" bestFit="1" customWidth="1"/>
    <col min="9" max="9" width="8.375" bestFit="1" customWidth="1"/>
    <col min="10" max="10" width="10.5" bestFit="1" customWidth="1"/>
    <col min="11" max="11" width="35.125" style="24" bestFit="1" customWidth="1"/>
  </cols>
  <sheetData>
    <row r="1" spans="1:11" x14ac:dyDescent="0.25">
      <c r="A1" t="s">
        <v>369</v>
      </c>
    </row>
    <row r="2" spans="1:11" s="39" customFormat="1" ht="99" x14ac:dyDescent="0.25">
      <c r="A2" s="1" t="s">
        <v>27</v>
      </c>
      <c r="B2" s="2" t="s">
        <v>28</v>
      </c>
      <c r="C2" s="2" t="s">
        <v>30</v>
      </c>
      <c r="D2" s="14" t="s">
        <v>93</v>
      </c>
      <c r="E2" s="2" t="s">
        <v>103</v>
      </c>
      <c r="F2" s="2" t="s">
        <v>135</v>
      </c>
      <c r="G2" s="2" t="s">
        <v>112</v>
      </c>
      <c r="H2" s="14" t="s">
        <v>149</v>
      </c>
      <c r="I2" s="15" t="s">
        <v>102</v>
      </c>
      <c r="J2" s="15" t="s">
        <v>39</v>
      </c>
      <c r="K2" s="16" t="s">
        <v>14</v>
      </c>
    </row>
    <row r="3" spans="1:11" s="92" customFormat="1" x14ac:dyDescent="0.25">
      <c r="A3" s="83">
        <v>7</v>
      </c>
      <c r="B3" s="84" t="s">
        <v>86</v>
      </c>
      <c r="C3" s="373" t="s">
        <v>92</v>
      </c>
      <c r="D3" s="85" t="s">
        <v>42</v>
      </c>
      <c r="E3" s="223" t="s">
        <v>116</v>
      </c>
      <c r="F3" s="85" t="s">
        <v>94</v>
      </c>
      <c r="G3" s="87" t="s">
        <v>42</v>
      </c>
      <c r="H3" s="85" t="s">
        <v>42</v>
      </c>
      <c r="I3" s="87">
        <v>0</v>
      </c>
      <c r="J3" s="88">
        <v>339.98</v>
      </c>
      <c r="K3" s="232" t="s">
        <v>361</v>
      </c>
    </row>
    <row r="4" spans="1:11" s="219" customFormat="1" x14ac:dyDescent="0.25">
      <c r="A4" s="260">
        <v>1</v>
      </c>
      <c r="B4" s="261" t="s">
        <v>86</v>
      </c>
      <c r="C4" s="261" t="s">
        <v>91</v>
      </c>
      <c r="D4" s="351" t="s">
        <v>42</v>
      </c>
      <c r="E4" s="263" t="s">
        <v>116</v>
      </c>
      <c r="F4" s="351" t="s">
        <v>94</v>
      </c>
      <c r="G4" s="264" t="s">
        <v>42</v>
      </c>
      <c r="H4" s="351" t="s">
        <v>42</v>
      </c>
      <c r="I4" s="264">
        <v>38</v>
      </c>
      <c r="J4" s="355">
        <v>379.98</v>
      </c>
      <c r="K4" s="371" t="s">
        <v>361</v>
      </c>
    </row>
    <row r="5" spans="1:11" s="92" customFormat="1" x14ac:dyDescent="0.25">
      <c r="A5" s="83"/>
      <c r="B5" s="84" t="s">
        <v>68</v>
      </c>
      <c r="C5" s="84" t="s">
        <v>85</v>
      </c>
      <c r="D5" s="85" t="s">
        <v>94</v>
      </c>
      <c r="E5" s="223" t="s">
        <v>94</v>
      </c>
      <c r="F5" s="85" t="s">
        <v>94</v>
      </c>
      <c r="G5" s="87" t="s">
        <v>94</v>
      </c>
      <c r="H5" s="224" t="s">
        <v>148</v>
      </c>
      <c r="I5" s="87">
        <v>224</v>
      </c>
      <c r="J5" s="157">
        <v>1299</v>
      </c>
      <c r="K5" s="225" t="s">
        <v>90</v>
      </c>
    </row>
    <row r="6" spans="1:11" s="92" customFormat="1" x14ac:dyDescent="0.25">
      <c r="A6" s="83"/>
      <c r="B6" s="375" t="s">
        <v>68</v>
      </c>
      <c r="C6" s="84" t="s">
        <v>83</v>
      </c>
      <c r="D6" s="85" t="s">
        <v>94</v>
      </c>
      <c r="E6" s="91" t="s">
        <v>94</v>
      </c>
      <c r="F6" s="224" t="s">
        <v>94</v>
      </c>
      <c r="G6" s="272" t="s">
        <v>94</v>
      </c>
      <c r="H6" s="224" t="s">
        <v>148</v>
      </c>
      <c r="I6" s="272">
        <v>95</v>
      </c>
      <c r="J6" s="88">
        <v>299</v>
      </c>
      <c r="K6" s="372" t="s">
        <v>88</v>
      </c>
    </row>
    <row r="7" spans="1:11" s="92" customFormat="1" x14ac:dyDescent="0.25">
      <c r="A7" s="83"/>
      <c r="B7" s="84" t="s">
        <v>68</v>
      </c>
      <c r="C7" s="84" t="s">
        <v>84</v>
      </c>
      <c r="D7" s="85" t="s">
        <v>94</v>
      </c>
      <c r="E7" s="223" t="s">
        <v>42</v>
      </c>
      <c r="F7" s="85" t="s">
        <v>94</v>
      </c>
      <c r="G7" s="87" t="s">
        <v>94</v>
      </c>
      <c r="H7" s="224" t="s">
        <v>148</v>
      </c>
      <c r="I7" s="87">
        <v>118</v>
      </c>
      <c r="J7" s="157">
        <v>999</v>
      </c>
      <c r="K7" s="225" t="s">
        <v>89</v>
      </c>
    </row>
    <row r="8" spans="1:11" s="92" customFormat="1" x14ac:dyDescent="0.25">
      <c r="A8" s="83"/>
      <c r="B8" s="323" t="s">
        <v>190</v>
      </c>
      <c r="C8" s="84" t="s">
        <v>192</v>
      </c>
      <c r="D8" s="85" t="s">
        <v>94</v>
      </c>
      <c r="E8" s="223" t="s">
        <v>116</v>
      </c>
      <c r="F8" s="85" t="s">
        <v>94</v>
      </c>
      <c r="G8" s="87" t="s">
        <v>94</v>
      </c>
      <c r="H8" s="85" t="s">
        <v>148</v>
      </c>
      <c r="I8" s="87">
        <v>220</v>
      </c>
      <c r="J8" s="88">
        <v>412</v>
      </c>
      <c r="K8" s="322" t="s">
        <v>362</v>
      </c>
    </row>
    <row r="9" spans="1:11" s="92" customFormat="1" x14ac:dyDescent="0.25">
      <c r="A9" s="83">
        <v>1</v>
      </c>
      <c r="B9" s="323" t="s">
        <v>190</v>
      </c>
      <c r="C9" s="84" t="s">
        <v>191</v>
      </c>
      <c r="D9" s="85" t="s">
        <v>42</v>
      </c>
      <c r="E9" s="223" t="s">
        <v>116</v>
      </c>
      <c r="F9" s="85" t="s">
        <v>94</v>
      </c>
      <c r="G9" s="87" t="s">
        <v>94</v>
      </c>
      <c r="H9" s="85"/>
      <c r="I9" s="87">
        <v>220</v>
      </c>
      <c r="J9" s="88">
        <v>275</v>
      </c>
      <c r="K9" s="322" t="s">
        <v>362</v>
      </c>
    </row>
    <row r="10" spans="1:11" s="44" customFormat="1" x14ac:dyDescent="0.25">
      <c r="A10" s="40"/>
      <c r="B10" s="40"/>
      <c r="C10" s="40"/>
      <c r="D10" s="47"/>
      <c r="E10" s="48"/>
      <c r="F10" s="47"/>
      <c r="G10" s="42"/>
      <c r="H10" s="47" t="s">
        <v>374</v>
      </c>
      <c r="I10" s="43">
        <f>MIN(FC_Mass)</f>
        <v>0</v>
      </c>
      <c r="J10" s="93">
        <f>MIN(FC_Price)</f>
        <v>275</v>
      </c>
      <c r="K10" s="50">
        <f ca="1">NOW()</f>
        <v>41741.59949479167</v>
      </c>
    </row>
    <row r="11" spans="1:11" s="44" customFormat="1" x14ac:dyDescent="0.25">
      <c r="F11" s="60"/>
      <c r="H11" s="60" t="s">
        <v>375</v>
      </c>
      <c r="I11" s="44">
        <f>MAX(FC_Mass)</f>
        <v>224</v>
      </c>
      <c r="J11" s="94">
        <f>MAX(FC_Price)</f>
        <v>1299</v>
      </c>
    </row>
    <row r="12" spans="1:11" x14ac:dyDescent="0.25">
      <c r="B12" t="s">
        <v>574</v>
      </c>
      <c r="H12" s="60" t="s">
        <v>376</v>
      </c>
      <c r="I12" s="44">
        <f>AVERAGE(FC_Mass)</f>
        <v>130.71428571428572</v>
      </c>
      <c r="J12" s="94">
        <f>AVERAGE(FC_Price)</f>
        <v>571.99428571428575</v>
      </c>
    </row>
    <row r="13" spans="1:11" x14ac:dyDescent="0.25">
      <c r="B13" s="92" t="s">
        <v>544</v>
      </c>
      <c r="C13" s="92" t="s">
        <v>565</v>
      </c>
    </row>
    <row r="14" spans="1:11" x14ac:dyDescent="0.25">
      <c r="B14" s="218" t="s">
        <v>312</v>
      </c>
      <c r="C14" s="319" t="s">
        <v>568</v>
      </c>
    </row>
    <row r="16" spans="1:11" x14ac:dyDescent="0.25">
      <c r="B16" s="92" t="s">
        <v>580</v>
      </c>
    </row>
    <row r="17" spans="2:3" x14ac:dyDescent="0.25">
      <c r="B17" s="374" t="s">
        <v>586</v>
      </c>
      <c r="C17" s="377"/>
    </row>
    <row r="18" spans="2:3" x14ac:dyDescent="0.25">
      <c r="B18" s="376" t="s">
        <v>587</v>
      </c>
      <c r="C18" s="376"/>
    </row>
    <row r="20" spans="2:3" x14ac:dyDescent="0.25">
      <c r="B20" s="219" t="s">
        <v>584</v>
      </c>
    </row>
  </sheetData>
  <sortState ref="B2:K8">
    <sortCondition ref="B2:B8"/>
    <sortCondition ref="C2:C8"/>
  </sortState>
  <phoneticPr fontId="9" type="noConversion"/>
  <hyperlinks>
    <hyperlink ref="K4" r:id="rId1"/>
    <hyperlink ref="K3" r:id="rId2"/>
    <hyperlink ref="K8" r:id="rId3"/>
    <hyperlink ref="K9" r:id="rId4"/>
  </hyperlinks>
  <pageMargins left="0.7" right="0.7" top="0.75" bottom="0.75" header="0.3" footer="0.3"/>
  <pageSetup orientation="landscape" horizontalDpi="4294967292" verticalDpi="4294967292" r:id="rId5"/>
  <extLst>
    <ext xmlns:mx="http://schemas.microsoft.com/office/mac/excel/2008/main" uri="{64002731-A6B0-56B0-2670-7721B7C09600}">
      <mx:PLV Mode="1" OnePage="0" WScale="0"/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L24"/>
  <sheetViews>
    <sheetView view="pageLayout" zoomScale="90" zoomScaleNormal="90" zoomScalePageLayoutView="90" workbookViewId="0">
      <selection activeCell="L3" sqref="L3:L17"/>
    </sheetView>
  </sheetViews>
  <sheetFormatPr defaultColWidth="8.875" defaultRowHeight="15.75" x14ac:dyDescent="0.25"/>
  <cols>
    <col min="1" max="1" width="4.625" bestFit="1" customWidth="1"/>
    <col min="2" max="2" width="10" customWidth="1"/>
    <col min="3" max="3" width="10" bestFit="1" customWidth="1"/>
    <col min="4" max="4" width="6.625" bestFit="1" customWidth="1"/>
    <col min="5" max="5" width="4.625" bestFit="1" customWidth="1"/>
    <col min="6" max="6" width="7.5" bestFit="1" customWidth="1"/>
    <col min="7" max="7" width="11.125" bestFit="1" customWidth="1"/>
    <col min="8" max="8" width="4.625" bestFit="1" customWidth="1"/>
    <col min="9" max="9" width="8" bestFit="1" customWidth="1"/>
    <col min="10" max="10" width="4.625" bestFit="1" customWidth="1"/>
    <col min="11" max="11" width="9.125" bestFit="1" customWidth="1"/>
    <col min="12" max="12" width="60" style="24" bestFit="1" customWidth="1"/>
  </cols>
  <sheetData>
    <row r="1" spans="1:12" x14ac:dyDescent="0.25">
      <c r="A1" t="s">
        <v>368</v>
      </c>
    </row>
    <row r="2" spans="1:12" s="39" customFormat="1" ht="95.25" x14ac:dyDescent="0.25">
      <c r="A2" s="111" t="s">
        <v>27</v>
      </c>
      <c r="B2" s="111" t="s">
        <v>28</v>
      </c>
      <c r="C2" s="111" t="s">
        <v>30</v>
      </c>
      <c r="D2" s="111" t="s">
        <v>197</v>
      </c>
      <c r="E2" s="112" t="s">
        <v>87</v>
      </c>
      <c r="F2" s="111" t="s">
        <v>199</v>
      </c>
      <c r="G2" s="111" t="s">
        <v>200</v>
      </c>
      <c r="H2" s="1" t="s">
        <v>202</v>
      </c>
      <c r="I2" s="111" t="s">
        <v>203</v>
      </c>
      <c r="J2" s="1" t="s">
        <v>294</v>
      </c>
      <c r="K2" s="115" t="s">
        <v>154</v>
      </c>
      <c r="L2" s="16" t="s">
        <v>14</v>
      </c>
    </row>
    <row r="3" spans="1:12" s="92" customFormat="1" x14ac:dyDescent="0.25">
      <c r="A3" s="151">
        <v>13</v>
      </c>
      <c r="B3" s="226" t="s">
        <v>117</v>
      </c>
      <c r="C3" s="226" t="s">
        <v>209</v>
      </c>
      <c r="D3" s="227" t="s">
        <v>198</v>
      </c>
      <c r="E3" s="228">
        <v>14</v>
      </c>
      <c r="F3" s="227" t="s">
        <v>189</v>
      </c>
      <c r="G3" s="227" t="s">
        <v>201</v>
      </c>
      <c r="H3" s="229" t="s">
        <v>94</v>
      </c>
      <c r="I3" s="230" t="s">
        <v>330</v>
      </c>
      <c r="J3" s="229" t="s">
        <v>94</v>
      </c>
      <c r="K3" s="231">
        <v>599</v>
      </c>
      <c r="L3" s="232" t="s">
        <v>210</v>
      </c>
    </row>
    <row r="4" spans="1:12" s="219" customFormat="1" x14ac:dyDescent="0.25">
      <c r="A4" s="235">
        <v>1</v>
      </c>
      <c r="B4" s="236" t="s">
        <v>117</v>
      </c>
      <c r="C4" s="236" t="s">
        <v>561</v>
      </c>
      <c r="D4" s="237" t="s">
        <v>198</v>
      </c>
      <c r="E4" s="238">
        <v>14</v>
      </c>
      <c r="F4" s="237" t="s">
        <v>189</v>
      </c>
      <c r="G4" s="237" t="s">
        <v>201</v>
      </c>
      <c r="H4" s="239" t="s">
        <v>94</v>
      </c>
      <c r="I4" s="240" t="s">
        <v>204</v>
      </c>
      <c r="J4" s="241" t="s">
        <v>94</v>
      </c>
      <c r="K4" s="242">
        <v>479</v>
      </c>
      <c r="L4" s="243" t="s">
        <v>208</v>
      </c>
    </row>
    <row r="5" spans="1:12" s="92" customFormat="1" x14ac:dyDescent="0.25">
      <c r="A5" s="151"/>
      <c r="B5" s="226" t="s">
        <v>117</v>
      </c>
      <c r="C5" s="226" t="s">
        <v>325</v>
      </c>
      <c r="D5" s="227" t="s">
        <v>198</v>
      </c>
      <c r="E5" s="228">
        <v>10</v>
      </c>
      <c r="F5" s="227" t="s">
        <v>42</v>
      </c>
      <c r="G5" s="227" t="s">
        <v>201</v>
      </c>
      <c r="H5" s="229" t="s">
        <v>94</v>
      </c>
      <c r="I5" s="230" t="s">
        <v>330</v>
      </c>
      <c r="J5" s="229" t="s">
        <v>94</v>
      </c>
      <c r="K5" s="231">
        <v>549.9</v>
      </c>
      <c r="L5" s="232" t="s">
        <v>329</v>
      </c>
    </row>
    <row r="6" spans="1:12" s="92" customFormat="1" x14ac:dyDescent="0.25">
      <c r="A6" s="151"/>
      <c r="B6" s="226" t="s">
        <v>117</v>
      </c>
      <c r="C6" s="226" t="s">
        <v>324</v>
      </c>
      <c r="D6" s="227" t="s">
        <v>198</v>
      </c>
      <c r="E6" s="228">
        <v>7</v>
      </c>
      <c r="F6" s="227" t="s">
        <v>326</v>
      </c>
      <c r="G6" s="227" t="s">
        <v>201</v>
      </c>
      <c r="H6" s="229" t="s">
        <v>94</v>
      </c>
      <c r="I6" s="230" t="s">
        <v>331</v>
      </c>
      <c r="J6" s="229" t="s">
        <v>94</v>
      </c>
      <c r="K6" s="231">
        <v>279.99</v>
      </c>
      <c r="L6" s="232" t="s">
        <v>328</v>
      </c>
    </row>
    <row r="7" spans="1:12" s="92" customFormat="1" x14ac:dyDescent="0.25">
      <c r="A7" s="151"/>
      <c r="B7" s="226" t="s">
        <v>117</v>
      </c>
      <c r="C7" s="226" t="s">
        <v>323</v>
      </c>
      <c r="D7" s="227" t="s">
        <v>198</v>
      </c>
      <c r="E7" s="228">
        <v>6</v>
      </c>
      <c r="F7" s="227" t="s">
        <v>326</v>
      </c>
      <c r="G7" s="227" t="s">
        <v>201</v>
      </c>
      <c r="H7" s="229" t="s">
        <v>94</v>
      </c>
      <c r="I7" s="230" t="s">
        <v>331</v>
      </c>
      <c r="J7" s="229" t="s">
        <v>94</v>
      </c>
      <c r="K7" s="231">
        <v>212.08</v>
      </c>
      <c r="L7" s="232" t="s">
        <v>327</v>
      </c>
    </row>
    <row r="8" spans="1:12" x14ac:dyDescent="0.25">
      <c r="A8" s="116"/>
      <c r="B8" s="117"/>
      <c r="C8" s="121"/>
      <c r="D8" s="161"/>
      <c r="E8" s="160"/>
      <c r="F8" s="161"/>
      <c r="G8" s="161"/>
      <c r="H8" s="158"/>
      <c r="I8" s="118"/>
      <c r="J8" s="158"/>
      <c r="K8" s="159"/>
      <c r="L8" s="79"/>
    </row>
    <row r="9" spans="1:12" s="92" customFormat="1" x14ac:dyDescent="0.25">
      <c r="A9" s="151"/>
      <c r="B9" s="226" t="s">
        <v>313</v>
      </c>
      <c r="C9" s="226" t="s">
        <v>317</v>
      </c>
      <c r="D9" s="227" t="s">
        <v>198</v>
      </c>
      <c r="E9" s="228">
        <v>14</v>
      </c>
      <c r="F9" s="227" t="s">
        <v>189</v>
      </c>
      <c r="G9" s="227" t="s">
        <v>322</v>
      </c>
      <c r="H9" s="229" t="s">
        <v>94</v>
      </c>
      <c r="I9" s="230" t="s">
        <v>335</v>
      </c>
      <c r="J9" s="229" t="s">
        <v>94</v>
      </c>
      <c r="K9" s="231">
        <v>679</v>
      </c>
      <c r="L9" s="232" t="s">
        <v>318</v>
      </c>
    </row>
    <row r="10" spans="1:12" s="92" customFormat="1" x14ac:dyDescent="0.25">
      <c r="A10" s="151"/>
      <c r="B10" s="226" t="s">
        <v>313</v>
      </c>
      <c r="C10" s="226" t="s">
        <v>316</v>
      </c>
      <c r="D10" s="227" t="s">
        <v>198</v>
      </c>
      <c r="E10" s="228">
        <v>11</v>
      </c>
      <c r="F10" s="227" t="s">
        <v>189</v>
      </c>
      <c r="G10" s="227" t="s">
        <v>322</v>
      </c>
      <c r="H10" s="229" t="s">
        <v>94</v>
      </c>
      <c r="I10" s="230" t="s">
        <v>335</v>
      </c>
      <c r="J10" s="229" t="s">
        <v>94</v>
      </c>
      <c r="K10" s="231">
        <v>799</v>
      </c>
      <c r="L10" s="232" t="s">
        <v>319</v>
      </c>
    </row>
    <row r="11" spans="1:12" s="92" customFormat="1" x14ac:dyDescent="0.25">
      <c r="A11" s="151"/>
      <c r="B11" s="226" t="s">
        <v>313</v>
      </c>
      <c r="C11" s="226" t="s">
        <v>315</v>
      </c>
      <c r="D11" s="227" t="s">
        <v>198</v>
      </c>
      <c r="E11" s="228">
        <v>8</v>
      </c>
      <c r="F11" s="227" t="s">
        <v>189</v>
      </c>
      <c r="G11" s="227" t="s">
        <v>322</v>
      </c>
      <c r="H11" s="229" t="s">
        <v>94</v>
      </c>
      <c r="I11" s="230" t="s">
        <v>334</v>
      </c>
      <c r="J11" s="229" t="s">
        <v>94</v>
      </c>
      <c r="K11" s="231">
        <v>429</v>
      </c>
      <c r="L11" s="232" t="s">
        <v>320</v>
      </c>
    </row>
    <row r="12" spans="1:12" s="92" customFormat="1" x14ac:dyDescent="0.25">
      <c r="A12" s="151"/>
      <c r="B12" s="226" t="s">
        <v>313</v>
      </c>
      <c r="C12" s="226" t="s">
        <v>314</v>
      </c>
      <c r="D12" s="227" t="s">
        <v>198</v>
      </c>
      <c r="E12" s="228">
        <v>6</v>
      </c>
      <c r="F12" s="227" t="s">
        <v>332</v>
      </c>
      <c r="G12" s="227" t="s">
        <v>322</v>
      </c>
      <c r="H12" s="229" t="s">
        <v>94</v>
      </c>
      <c r="I12" s="230" t="s">
        <v>333</v>
      </c>
      <c r="J12" s="229" t="s">
        <v>94</v>
      </c>
      <c r="K12" s="231">
        <v>199</v>
      </c>
      <c r="L12" s="232" t="s">
        <v>321</v>
      </c>
    </row>
    <row r="13" spans="1:12" x14ac:dyDescent="0.25">
      <c r="A13" s="116"/>
      <c r="B13" s="117"/>
      <c r="C13" s="121"/>
      <c r="D13" s="161"/>
      <c r="E13" s="160"/>
      <c r="F13" s="161"/>
      <c r="G13" s="161"/>
      <c r="H13" s="158"/>
      <c r="I13" s="118"/>
      <c r="J13" s="158"/>
      <c r="K13" s="159"/>
      <c r="L13" s="79"/>
    </row>
    <row r="14" spans="1:12" s="92" customFormat="1" x14ac:dyDescent="0.25">
      <c r="A14" s="151"/>
      <c r="B14" s="226" t="s">
        <v>131</v>
      </c>
      <c r="C14" s="226" t="s">
        <v>214</v>
      </c>
      <c r="D14" s="227" t="s">
        <v>198</v>
      </c>
      <c r="E14" s="228">
        <v>9</v>
      </c>
      <c r="F14" s="227" t="s">
        <v>189</v>
      </c>
      <c r="G14" s="233" t="s">
        <v>289</v>
      </c>
      <c r="H14" s="229" t="s">
        <v>94</v>
      </c>
      <c r="I14" s="230" t="s">
        <v>42</v>
      </c>
      <c r="J14" s="229" t="s">
        <v>94</v>
      </c>
      <c r="K14" s="231">
        <v>449.99</v>
      </c>
      <c r="L14" s="234" t="s">
        <v>290</v>
      </c>
    </row>
    <row r="15" spans="1:12" s="92" customFormat="1" x14ac:dyDescent="0.25">
      <c r="A15" s="151"/>
      <c r="B15" s="226" t="s">
        <v>131</v>
      </c>
      <c r="C15" s="226" t="s">
        <v>213</v>
      </c>
      <c r="D15" s="227" t="s">
        <v>198</v>
      </c>
      <c r="E15" s="228">
        <v>8</v>
      </c>
      <c r="F15" s="227" t="s">
        <v>189</v>
      </c>
      <c r="G15" s="233" t="s">
        <v>289</v>
      </c>
      <c r="H15" s="229" t="s">
        <v>94</v>
      </c>
      <c r="I15" s="230" t="s">
        <v>42</v>
      </c>
      <c r="J15" s="229" t="s">
        <v>94</v>
      </c>
      <c r="K15" s="231">
        <v>299.99</v>
      </c>
      <c r="L15" s="234" t="s">
        <v>291</v>
      </c>
    </row>
    <row r="16" spans="1:12" s="92" customFormat="1" x14ac:dyDescent="0.25">
      <c r="A16" s="151"/>
      <c r="B16" s="226" t="s">
        <v>131</v>
      </c>
      <c r="C16" s="226" t="s">
        <v>212</v>
      </c>
      <c r="D16" s="227" t="s">
        <v>198</v>
      </c>
      <c r="E16" s="228">
        <v>7</v>
      </c>
      <c r="F16" s="227" t="s">
        <v>189</v>
      </c>
      <c r="G16" s="233" t="s">
        <v>289</v>
      </c>
      <c r="H16" s="229" t="s">
        <v>94</v>
      </c>
      <c r="I16" s="230" t="s">
        <v>217</v>
      </c>
      <c r="J16" s="229" t="s">
        <v>94</v>
      </c>
      <c r="K16" s="231">
        <v>299.99</v>
      </c>
      <c r="L16" s="234" t="s">
        <v>292</v>
      </c>
    </row>
    <row r="17" spans="1:12" s="92" customFormat="1" x14ac:dyDescent="0.25">
      <c r="A17" s="151">
        <v>1</v>
      </c>
      <c r="B17" s="226" t="s">
        <v>131</v>
      </c>
      <c r="C17" s="226" t="s">
        <v>211</v>
      </c>
      <c r="D17" s="227" t="s">
        <v>198</v>
      </c>
      <c r="E17" s="228">
        <v>6</v>
      </c>
      <c r="F17" s="227" t="s">
        <v>189</v>
      </c>
      <c r="G17" s="233" t="s">
        <v>289</v>
      </c>
      <c r="H17" s="229" t="s">
        <v>94</v>
      </c>
      <c r="I17" s="230" t="s">
        <v>215</v>
      </c>
      <c r="J17" s="229" t="s">
        <v>94</v>
      </c>
      <c r="K17" s="231">
        <v>229.99</v>
      </c>
      <c r="L17" s="232" t="s">
        <v>293</v>
      </c>
    </row>
    <row r="18" spans="1:12" s="44" customFormat="1" x14ac:dyDescent="0.25">
      <c r="C18" s="44" t="s">
        <v>374</v>
      </c>
      <c r="E18" s="44">
        <f>MIN(E3:E17)</f>
        <v>6</v>
      </c>
      <c r="K18" s="94">
        <f t="shared" ref="K18" si="0">MIN(K3:K17)</f>
        <v>199</v>
      </c>
      <c r="L18" s="50">
        <f ca="1">NOW()</f>
        <v>41741.59949479167</v>
      </c>
    </row>
    <row r="19" spans="1:12" x14ac:dyDescent="0.25">
      <c r="C19" s="95" t="s">
        <v>375</v>
      </c>
      <c r="D19" s="44"/>
      <c r="E19" s="44">
        <f>MAX(E3:E17)</f>
        <v>14</v>
      </c>
      <c r="F19" s="44"/>
      <c r="G19" s="44"/>
      <c r="H19" s="44"/>
      <c r="I19" s="44"/>
      <c r="J19" s="44"/>
      <c r="K19" s="94">
        <f t="shared" ref="K19" si="1">MAX(K3:K17)</f>
        <v>799</v>
      </c>
    </row>
    <row r="20" spans="1:12" x14ac:dyDescent="0.25">
      <c r="C20" s="95" t="s">
        <v>376</v>
      </c>
      <c r="D20" s="44"/>
      <c r="E20" s="44">
        <f>AVERAGE(E3:E17)</f>
        <v>9.2307692307692299</v>
      </c>
      <c r="F20" s="44"/>
      <c r="G20" s="44"/>
      <c r="H20" s="44"/>
      <c r="I20" s="44"/>
      <c r="J20" s="44"/>
      <c r="K20" s="94">
        <f t="shared" ref="K20" si="2">AVERAGE(K3:K17)</f>
        <v>423.53307692307686</v>
      </c>
    </row>
    <row r="22" spans="1:12" x14ac:dyDescent="0.25">
      <c r="B22" t="s">
        <v>574</v>
      </c>
    </row>
    <row r="23" spans="1:12" x14ac:dyDescent="0.25">
      <c r="B23" s="92" t="s">
        <v>544</v>
      </c>
    </row>
    <row r="24" spans="1:12" x14ac:dyDescent="0.25">
      <c r="B24" s="219" t="s">
        <v>554</v>
      </c>
      <c r="C24" s="100"/>
    </row>
  </sheetData>
  <sortState ref="B2:M14">
    <sortCondition ref="B2:B14"/>
    <sortCondition descending="1" ref="E2:E14"/>
  </sortState>
  <phoneticPr fontId="9" type="noConversion"/>
  <hyperlinks>
    <hyperlink ref="L3" r:id="rId1"/>
    <hyperlink ref="L17" r:id="rId2"/>
    <hyperlink ref="L4" r:id="rId3"/>
  </hyperlinks>
  <pageMargins left="0.7" right="0.7" top="0.75" bottom="0.75" header="0.3" footer="0.3"/>
  <pageSetup scale="81" fitToHeight="0" orientation="landscape" horizontalDpi="4294967292" verticalDpi="4294967292" r:id="rId4"/>
  <extLst>
    <ext xmlns:mx="http://schemas.microsoft.com/office/mac/excel/2008/main" uri="{64002731-A6B0-56B0-2670-7721B7C09600}">
      <mx:PLV Mode="1" OnePage="0" WScale="0"/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L17"/>
  <sheetViews>
    <sheetView view="pageLayout" zoomScale="125" zoomScaleNormal="90" zoomScalePageLayoutView="125" workbookViewId="0">
      <selection activeCell="D3" sqref="D3:D12"/>
    </sheetView>
  </sheetViews>
  <sheetFormatPr defaultColWidth="8.875" defaultRowHeight="15.75" x14ac:dyDescent="0.25"/>
  <cols>
    <col min="1" max="1" width="4.625" bestFit="1" customWidth="1"/>
    <col min="2" max="2" width="9.125" bestFit="1" customWidth="1"/>
    <col min="3" max="3" width="12.875" bestFit="1" customWidth="1"/>
    <col min="4" max="4" width="8.625" bestFit="1" customWidth="1"/>
    <col min="5" max="5" width="4.625" bestFit="1" customWidth="1"/>
    <col min="6" max="8" width="4.875" bestFit="1" customWidth="1"/>
    <col min="9" max="9" width="7" bestFit="1" customWidth="1"/>
    <col min="10" max="10" width="4.625" bestFit="1" customWidth="1"/>
    <col min="11" max="11" width="9" bestFit="1" customWidth="1"/>
    <col min="12" max="12" width="21.375" bestFit="1" customWidth="1"/>
  </cols>
  <sheetData>
    <row r="1" spans="1:12" x14ac:dyDescent="0.25">
      <c r="A1" t="s">
        <v>367</v>
      </c>
    </row>
    <row r="2" spans="1:12" ht="79.5" x14ac:dyDescent="0.25">
      <c r="A2" s="1" t="s">
        <v>27</v>
      </c>
      <c r="B2" s="111" t="s">
        <v>28</v>
      </c>
      <c r="C2" s="111" t="s">
        <v>29</v>
      </c>
      <c r="D2" s="111" t="s">
        <v>30</v>
      </c>
      <c r="E2" s="112" t="s">
        <v>206</v>
      </c>
      <c r="F2" s="113" t="s">
        <v>207</v>
      </c>
      <c r="G2" s="114" t="s">
        <v>168</v>
      </c>
      <c r="H2" s="113" t="s">
        <v>167</v>
      </c>
      <c r="I2" s="113" t="s">
        <v>336</v>
      </c>
      <c r="J2" s="113" t="s">
        <v>37</v>
      </c>
      <c r="K2" s="115" t="s">
        <v>39</v>
      </c>
      <c r="L2" s="16" t="s">
        <v>14</v>
      </c>
    </row>
    <row r="3" spans="1:12" s="92" customFormat="1" x14ac:dyDescent="0.25">
      <c r="A3" s="151">
        <v>8</v>
      </c>
      <c r="B3" s="226" t="s">
        <v>117</v>
      </c>
      <c r="C3" s="226" t="s">
        <v>205</v>
      </c>
      <c r="D3" s="230" t="s">
        <v>330</v>
      </c>
      <c r="E3" s="244">
        <v>14</v>
      </c>
      <c r="F3" s="245">
        <v>52</v>
      </c>
      <c r="G3" s="246">
        <v>37.6</v>
      </c>
      <c r="H3" s="245">
        <v>15.9</v>
      </c>
      <c r="I3" s="247" t="s">
        <v>337</v>
      </c>
      <c r="J3" s="248">
        <v>21.5</v>
      </c>
      <c r="K3" s="249">
        <v>169.98</v>
      </c>
      <c r="L3" s="250" t="s">
        <v>363</v>
      </c>
    </row>
    <row r="4" spans="1:12" s="219" customFormat="1" x14ac:dyDescent="0.25">
      <c r="A4" s="235">
        <v>1</v>
      </c>
      <c r="B4" s="236" t="s">
        <v>117</v>
      </c>
      <c r="C4" s="236" t="s">
        <v>205</v>
      </c>
      <c r="D4" s="240" t="s">
        <v>204</v>
      </c>
      <c r="E4" s="253">
        <v>8</v>
      </c>
      <c r="F4" s="254">
        <v>47.3</v>
      </c>
      <c r="G4" s="255">
        <v>24.9</v>
      </c>
      <c r="H4" s="255">
        <v>14.3</v>
      </c>
      <c r="I4" s="256" t="s">
        <v>338</v>
      </c>
      <c r="J4" s="257">
        <v>13.8</v>
      </c>
      <c r="K4" s="258">
        <v>129.99</v>
      </c>
      <c r="L4" s="259" t="s">
        <v>363</v>
      </c>
    </row>
    <row r="5" spans="1:12" s="92" customFormat="1" x14ac:dyDescent="0.25">
      <c r="A5" s="151"/>
      <c r="B5" s="226" t="s">
        <v>117</v>
      </c>
      <c r="C5" s="226" t="s">
        <v>205</v>
      </c>
      <c r="D5" s="230" t="s">
        <v>331</v>
      </c>
      <c r="E5" s="244">
        <v>7</v>
      </c>
      <c r="F5" s="251">
        <v>40</v>
      </c>
      <c r="G5" s="246">
        <v>27</v>
      </c>
      <c r="H5" s="246">
        <v>9</v>
      </c>
      <c r="I5" s="247" t="s">
        <v>337</v>
      </c>
      <c r="J5" s="252">
        <v>9.8000000000000007</v>
      </c>
      <c r="K5" s="249">
        <v>69.95</v>
      </c>
      <c r="L5" s="250" t="s">
        <v>363</v>
      </c>
    </row>
    <row r="6" spans="1:12" x14ac:dyDescent="0.25">
      <c r="A6" s="116"/>
      <c r="B6" s="117"/>
      <c r="C6" s="117"/>
      <c r="D6" s="118"/>
      <c r="E6" s="119"/>
      <c r="F6" s="124"/>
      <c r="G6" s="120"/>
      <c r="H6" s="120"/>
      <c r="I6" s="121"/>
      <c r="J6" s="125"/>
      <c r="K6" s="122"/>
      <c r="L6" s="123"/>
    </row>
    <row r="7" spans="1:12" s="92" customFormat="1" x14ac:dyDescent="0.25">
      <c r="A7" s="151"/>
      <c r="B7" s="226" t="s">
        <v>313</v>
      </c>
      <c r="C7" s="226" t="s">
        <v>341</v>
      </c>
      <c r="D7" s="230" t="s">
        <v>335</v>
      </c>
      <c r="E7" s="244">
        <v>11</v>
      </c>
      <c r="F7" s="251">
        <v>47.5</v>
      </c>
      <c r="G7" s="246">
        <v>32</v>
      </c>
      <c r="H7" s="246">
        <v>14</v>
      </c>
      <c r="I7" s="247" t="s">
        <v>343</v>
      </c>
      <c r="J7" s="252">
        <v>18</v>
      </c>
      <c r="K7" s="249">
        <v>129.99</v>
      </c>
      <c r="L7" s="250" t="s">
        <v>364</v>
      </c>
    </row>
    <row r="8" spans="1:12" s="92" customFormat="1" x14ac:dyDescent="0.25">
      <c r="A8" s="151"/>
      <c r="B8" s="226" t="s">
        <v>313</v>
      </c>
      <c r="C8" s="226" t="s">
        <v>341</v>
      </c>
      <c r="D8" s="230" t="s">
        <v>333</v>
      </c>
      <c r="E8" s="244">
        <v>6</v>
      </c>
      <c r="F8" s="251">
        <v>46.5</v>
      </c>
      <c r="G8" s="246">
        <v>20</v>
      </c>
      <c r="H8" s="246">
        <v>12.5</v>
      </c>
      <c r="I8" s="247" t="s">
        <v>342</v>
      </c>
      <c r="J8" s="252">
        <v>9</v>
      </c>
      <c r="K8" s="249">
        <v>79.989999999999995</v>
      </c>
      <c r="L8" s="250" t="s">
        <v>364</v>
      </c>
    </row>
    <row r="9" spans="1:12" x14ac:dyDescent="0.25">
      <c r="A9" s="116"/>
      <c r="B9" s="117"/>
      <c r="C9" s="117"/>
      <c r="D9" s="118"/>
      <c r="E9" s="119"/>
      <c r="F9" s="124"/>
      <c r="G9" s="120"/>
      <c r="H9" s="120"/>
      <c r="I9" s="121"/>
      <c r="J9" s="125"/>
      <c r="K9" s="122"/>
      <c r="L9" s="123"/>
    </row>
    <row r="10" spans="1:12" s="92" customFormat="1" x14ac:dyDescent="0.25">
      <c r="A10" s="151"/>
      <c r="B10" s="226" t="s">
        <v>131</v>
      </c>
      <c r="C10" s="226" t="s">
        <v>339</v>
      </c>
      <c r="D10" s="230" t="s">
        <v>217</v>
      </c>
      <c r="E10" s="244">
        <v>8</v>
      </c>
      <c r="F10" s="251">
        <v>34.299999999999997</v>
      </c>
      <c r="G10" s="246">
        <v>32.299999999999997</v>
      </c>
      <c r="H10" s="246">
        <v>11.4</v>
      </c>
      <c r="I10" s="247" t="s">
        <v>340</v>
      </c>
      <c r="J10" s="252">
        <v>9.4</v>
      </c>
      <c r="K10" s="249">
        <v>129.99</v>
      </c>
      <c r="L10" s="250" t="s">
        <v>365</v>
      </c>
    </row>
    <row r="11" spans="1:12" s="92" customFormat="1" x14ac:dyDescent="0.25">
      <c r="A11" s="151"/>
      <c r="B11" s="226" t="s">
        <v>131</v>
      </c>
      <c r="C11" s="226" t="s">
        <v>339</v>
      </c>
      <c r="D11" s="230" t="s">
        <v>216</v>
      </c>
      <c r="E11" s="244">
        <v>7</v>
      </c>
      <c r="F11" s="251">
        <v>34.299999999999997</v>
      </c>
      <c r="G11" s="246">
        <v>29.2</v>
      </c>
      <c r="H11" s="246">
        <v>11.4</v>
      </c>
      <c r="I11" s="247" t="s">
        <v>340</v>
      </c>
      <c r="J11" s="252">
        <v>8.9</v>
      </c>
      <c r="K11" s="249">
        <v>89.99</v>
      </c>
      <c r="L11" s="250" t="s">
        <v>365</v>
      </c>
    </row>
    <row r="12" spans="1:12" s="92" customFormat="1" x14ac:dyDescent="0.25">
      <c r="A12" s="151">
        <v>1</v>
      </c>
      <c r="B12" s="226" t="s">
        <v>131</v>
      </c>
      <c r="C12" s="226" t="s">
        <v>339</v>
      </c>
      <c r="D12" s="230" t="s">
        <v>215</v>
      </c>
      <c r="E12" s="244">
        <v>6</v>
      </c>
      <c r="F12" s="251">
        <v>36.6</v>
      </c>
      <c r="G12" s="246">
        <v>26.7</v>
      </c>
      <c r="H12" s="246">
        <v>12.7</v>
      </c>
      <c r="I12" s="247" t="s">
        <v>42</v>
      </c>
      <c r="J12" s="252">
        <v>9</v>
      </c>
      <c r="K12" s="249">
        <v>49.99</v>
      </c>
      <c r="L12" s="250" t="s">
        <v>365</v>
      </c>
    </row>
    <row r="13" spans="1:12" x14ac:dyDescent="0.25">
      <c r="A13" s="44"/>
      <c r="B13" s="55"/>
      <c r="C13" s="55"/>
      <c r="D13" s="82" t="s">
        <v>377</v>
      </c>
      <c r="E13" s="108">
        <f>MIN(E3:E12)</f>
        <v>6</v>
      </c>
      <c r="F13" s="108">
        <f t="shared" ref="F13:K13" si="0">MIN(F3:F12)</f>
        <v>34.299999999999997</v>
      </c>
      <c r="G13" s="108">
        <f t="shared" si="0"/>
        <v>20</v>
      </c>
      <c r="H13" s="108">
        <f t="shared" si="0"/>
        <v>9</v>
      </c>
      <c r="I13" s="108"/>
      <c r="J13" s="108">
        <f t="shared" si="0"/>
        <v>8.9</v>
      </c>
      <c r="K13" s="109">
        <f t="shared" si="0"/>
        <v>49.99</v>
      </c>
      <c r="L13" s="50">
        <f ca="1">NOW()</f>
        <v>41741.59949479167</v>
      </c>
    </row>
    <row r="14" spans="1:12" x14ac:dyDescent="0.25">
      <c r="D14" s="96" t="s">
        <v>378</v>
      </c>
      <c r="E14" s="110">
        <f>MAX(E3:E12)</f>
        <v>14</v>
      </c>
      <c r="F14" s="110">
        <f t="shared" ref="F14:K14" si="1">MAX(F3:F12)</f>
        <v>52</v>
      </c>
      <c r="G14" s="110">
        <f t="shared" si="1"/>
        <v>37.6</v>
      </c>
      <c r="H14" s="110">
        <f t="shared" si="1"/>
        <v>15.9</v>
      </c>
      <c r="I14" s="110"/>
      <c r="J14" s="110">
        <f t="shared" si="1"/>
        <v>21.5</v>
      </c>
      <c r="K14" s="109">
        <f t="shared" si="1"/>
        <v>169.98</v>
      </c>
    </row>
    <row r="15" spans="1:12" x14ac:dyDescent="0.25">
      <c r="B15" s="132" t="s">
        <v>574</v>
      </c>
      <c r="D15" s="96" t="s">
        <v>379</v>
      </c>
      <c r="E15" s="110">
        <f>AVERAGE(E3:E12)</f>
        <v>8.375</v>
      </c>
      <c r="F15" s="110">
        <f t="shared" ref="F15:K15" si="2">AVERAGE(F3:F12)</f>
        <v>42.312500000000007</v>
      </c>
      <c r="G15" s="110">
        <f t="shared" si="2"/>
        <v>28.712499999999999</v>
      </c>
      <c r="H15" s="110">
        <f t="shared" si="2"/>
        <v>12.650000000000002</v>
      </c>
      <c r="I15" s="110"/>
      <c r="J15" s="110">
        <f t="shared" si="2"/>
        <v>12.425000000000001</v>
      </c>
      <c r="K15" s="109">
        <f t="shared" si="2"/>
        <v>106.23375</v>
      </c>
    </row>
    <row r="16" spans="1:12" x14ac:dyDescent="0.25">
      <c r="B16" s="92" t="s">
        <v>544</v>
      </c>
    </row>
    <row r="17" spans="2:4" x14ac:dyDescent="0.25">
      <c r="B17" s="219" t="s">
        <v>555</v>
      </c>
      <c r="C17" s="219"/>
      <c r="D17" s="100"/>
    </row>
  </sheetData>
  <phoneticPr fontId="9" type="noConversion"/>
  <hyperlinks>
    <hyperlink ref="L8" r:id="rId1"/>
    <hyperlink ref="L3" r:id="rId2"/>
    <hyperlink ref="L4" r:id="rId3"/>
    <hyperlink ref="L5" r:id="rId4"/>
    <hyperlink ref="L7" r:id="rId5"/>
    <hyperlink ref="L10" r:id="rId6"/>
    <hyperlink ref="L11" r:id="rId7"/>
    <hyperlink ref="L12" r:id="rId8"/>
  </hyperlinks>
  <pageMargins left="0.7" right="0.7" top="0.75" bottom="0.75" header="0.3" footer="0.3"/>
  <pageSetup scale="88" orientation="portrait" horizontalDpi="4294967292" verticalDpi="4294967292" r:id="rId9"/>
  <extLst>
    <ext xmlns:mx="http://schemas.microsoft.com/office/mac/excel/2008/main" uri="{64002731-A6B0-56B0-2670-7721B7C09600}">
      <mx:PLV Mode="1" OnePage="0" WScale="100"/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K14"/>
  <sheetViews>
    <sheetView view="pageLayout" workbookViewId="0">
      <selection activeCell="E12" sqref="E12"/>
    </sheetView>
  </sheetViews>
  <sheetFormatPr defaultColWidth="8.875" defaultRowHeight="15.75" x14ac:dyDescent="0.25"/>
  <cols>
    <col min="1" max="1" width="3" customWidth="1"/>
    <col min="2" max="2" width="11.125" customWidth="1"/>
    <col min="3" max="3" width="23.625" customWidth="1"/>
    <col min="4" max="4" width="4.875" bestFit="1" customWidth="1"/>
    <col min="5" max="5" width="4.625" bestFit="1" customWidth="1"/>
    <col min="6" max="6" width="12.125" bestFit="1" customWidth="1"/>
    <col min="7" max="7" width="8.125" bestFit="1" customWidth="1"/>
    <col min="8" max="8" width="6.125" bestFit="1" customWidth="1"/>
    <col min="9" max="9" width="4.875" bestFit="1" customWidth="1"/>
    <col min="10" max="10" width="12.125" bestFit="1" customWidth="1"/>
    <col min="11" max="11" width="42.5" bestFit="1" customWidth="1"/>
  </cols>
  <sheetData>
    <row r="1" spans="1:11" x14ac:dyDescent="0.25">
      <c r="A1" t="s">
        <v>366</v>
      </c>
    </row>
    <row r="2" spans="1:11" ht="103.5" x14ac:dyDescent="0.25">
      <c r="A2" s="1" t="s">
        <v>27</v>
      </c>
      <c r="B2" s="105" t="s">
        <v>28</v>
      </c>
      <c r="C2" s="105" t="s">
        <v>30</v>
      </c>
      <c r="D2" s="106" t="s">
        <v>124</v>
      </c>
      <c r="E2" s="105" t="s">
        <v>187</v>
      </c>
      <c r="F2" s="105" t="s">
        <v>188</v>
      </c>
      <c r="G2" s="105" t="s">
        <v>125</v>
      </c>
      <c r="H2" s="105" t="s">
        <v>195</v>
      </c>
      <c r="I2" s="105" t="s">
        <v>37</v>
      </c>
      <c r="J2" s="107" t="s">
        <v>39</v>
      </c>
      <c r="K2" s="16" t="s">
        <v>14</v>
      </c>
    </row>
    <row r="3" spans="1:11" s="92" customFormat="1" ht="15.75" customHeight="1" x14ac:dyDescent="0.25">
      <c r="A3" s="83">
        <v>7</v>
      </c>
      <c r="B3" s="84" t="s">
        <v>353</v>
      </c>
      <c r="C3" s="267" t="s">
        <v>383</v>
      </c>
      <c r="D3" s="268">
        <v>12</v>
      </c>
      <c r="E3" s="223" t="s">
        <v>94</v>
      </c>
      <c r="F3" s="84" t="s">
        <v>358</v>
      </c>
      <c r="G3" s="84" t="s">
        <v>189</v>
      </c>
      <c r="H3" s="84" t="s">
        <v>352</v>
      </c>
      <c r="I3" s="87">
        <v>355</v>
      </c>
      <c r="J3" s="269">
        <v>995</v>
      </c>
      <c r="K3" s="270" t="s">
        <v>356</v>
      </c>
    </row>
    <row r="4" spans="1:11" s="92" customFormat="1" ht="15" customHeight="1" x14ac:dyDescent="0.25">
      <c r="A4" s="83"/>
      <c r="B4" s="84" t="s">
        <v>118</v>
      </c>
      <c r="C4" s="267" t="s">
        <v>603</v>
      </c>
      <c r="D4" s="268">
        <v>22.3</v>
      </c>
      <c r="E4" s="91" t="s">
        <v>94</v>
      </c>
      <c r="F4" s="206" t="s">
        <v>359</v>
      </c>
      <c r="G4" s="271" t="s">
        <v>189</v>
      </c>
      <c r="H4" s="271" t="s">
        <v>352</v>
      </c>
      <c r="I4" s="272">
        <v>1244</v>
      </c>
      <c r="J4" s="269">
        <v>3399</v>
      </c>
      <c r="K4" s="221" t="s">
        <v>385</v>
      </c>
    </row>
    <row r="5" spans="1:11" s="219" customFormat="1" x14ac:dyDescent="0.25">
      <c r="A5" s="260">
        <v>1</v>
      </c>
      <c r="B5" s="261" t="s">
        <v>119</v>
      </c>
      <c r="C5" s="262" t="s">
        <v>121</v>
      </c>
      <c r="D5" s="7">
        <v>12</v>
      </c>
      <c r="E5" s="263" t="s">
        <v>94</v>
      </c>
      <c r="F5" s="261" t="s">
        <v>359</v>
      </c>
      <c r="G5" s="261" t="s">
        <v>126</v>
      </c>
      <c r="H5" s="261" t="s">
        <v>128</v>
      </c>
      <c r="I5" s="264">
        <v>74</v>
      </c>
      <c r="J5" s="265">
        <v>399.99</v>
      </c>
      <c r="K5" s="266" t="s">
        <v>193</v>
      </c>
    </row>
    <row r="6" spans="1:11" s="92" customFormat="1" x14ac:dyDescent="0.25">
      <c r="A6" s="83"/>
      <c r="B6" s="84" t="s">
        <v>119</v>
      </c>
      <c r="C6" s="267" t="s">
        <v>122</v>
      </c>
      <c r="D6" s="268">
        <v>10</v>
      </c>
      <c r="E6" s="223" t="s">
        <v>94</v>
      </c>
      <c r="F6" s="84" t="s">
        <v>359</v>
      </c>
      <c r="G6" s="84" t="s">
        <v>126</v>
      </c>
      <c r="H6" s="84" t="s">
        <v>128</v>
      </c>
      <c r="I6" s="87">
        <v>74</v>
      </c>
      <c r="J6" s="269">
        <v>299.99</v>
      </c>
      <c r="K6" s="270" t="s">
        <v>194</v>
      </c>
    </row>
    <row r="7" spans="1:11" s="92" customFormat="1" x14ac:dyDescent="0.25">
      <c r="A7" s="83"/>
      <c r="B7" s="84" t="s">
        <v>120</v>
      </c>
      <c r="C7" s="267" t="s">
        <v>123</v>
      </c>
      <c r="D7" s="268">
        <v>12.3</v>
      </c>
      <c r="E7" s="223" t="s">
        <v>94</v>
      </c>
      <c r="F7" s="84" t="s">
        <v>384</v>
      </c>
      <c r="G7" s="84" t="s">
        <v>98</v>
      </c>
      <c r="H7" s="84" t="s">
        <v>228</v>
      </c>
      <c r="I7" s="87">
        <v>840</v>
      </c>
      <c r="J7" s="269">
        <v>1596.95</v>
      </c>
      <c r="K7" s="270" t="s">
        <v>356</v>
      </c>
    </row>
    <row r="8" spans="1:11" s="92" customFormat="1" x14ac:dyDescent="0.25">
      <c r="A8" s="83"/>
      <c r="B8" s="84" t="s">
        <v>120</v>
      </c>
      <c r="C8" s="267" t="s">
        <v>386</v>
      </c>
      <c r="D8" s="268">
        <v>36.299999999999997</v>
      </c>
      <c r="E8" s="223" t="s">
        <v>94</v>
      </c>
      <c r="F8" s="84" t="s">
        <v>358</v>
      </c>
      <c r="G8" s="84" t="s">
        <v>189</v>
      </c>
      <c r="H8" s="84" t="s">
        <v>228</v>
      </c>
      <c r="I8" s="87">
        <v>900</v>
      </c>
      <c r="J8" s="269">
        <v>2799.95</v>
      </c>
      <c r="K8" s="221" t="s">
        <v>387</v>
      </c>
    </row>
    <row r="9" spans="1:11" s="92" customFormat="1" x14ac:dyDescent="0.25">
      <c r="A9" s="83">
        <v>1</v>
      </c>
      <c r="B9" s="84" t="s">
        <v>354</v>
      </c>
      <c r="C9" s="267" t="s">
        <v>355</v>
      </c>
      <c r="D9" s="268">
        <v>16</v>
      </c>
      <c r="E9" s="223" t="s">
        <v>94</v>
      </c>
      <c r="F9" s="84" t="s">
        <v>357</v>
      </c>
      <c r="G9" s="84" t="s">
        <v>189</v>
      </c>
      <c r="H9" s="84" t="s">
        <v>227</v>
      </c>
      <c r="I9" s="87">
        <v>550</v>
      </c>
      <c r="J9" s="269">
        <v>1298</v>
      </c>
      <c r="K9" s="270" t="s">
        <v>356</v>
      </c>
    </row>
    <row r="10" spans="1:11" s="44" customFormat="1" x14ac:dyDescent="0.25">
      <c r="C10" s="102" t="s">
        <v>374</v>
      </c>
      <c r="D10" s="103">
        <f>MIN(D3:D9)</f>
        <v>10</v>
      </c>
      <c r="E10" s="103"/>
      <c r="F10" s="103"/>
      <c r="G10" s="103"/>
      <c r="H10" s="103"/>
      <c r="I10" s="103">
        <f t="shared" ref="I10:J10" si="0">MIN(I3:I9)</f>
        <v>74</v>
      </c>
      <c r="J10" s="94">
        <f t="shared" si="0"/>
        <v>299.99</v>
      </c>
    </row>
    <row r="11" spans="1:11" s="44" customFormat="1" x14ac:dyDescent="0.25">
      <c r="C11" s="102" t="s">
        <v>375</v>
      </c>
      <c r="D11" s="104">
        <f>MAX(D2:D7)</f>
        <v>22.3</v>
      </c>
      <c r="E11" s="104"/>
      <c r="F11" s="104"/>
      <c r="G11" s="104"/>
      <c r="H11" s="104"/>
      <c r="I11" s="104">
        <f t="shared" ref="I11:J11" si="1">MAX(I2:I7)</f>
        <v>1244</v>
      </c>
      <c r="J11" s="98">
        <f t="shared" si="1"/>
        <v>3399</v>
      </c>
    </row>
    <row r="12" spans="1:11" s="44" customFormat="1" x14ac:dyDescent="0.25">
      <c r="B12" t="s">
        <v>574</v>
      </c>
      <c r="C12" s="102" t="s">
        <v>376</v>
      </c>
      <c r="D12" s="99">
        <f t="shared" ref="D12:I12" si="2">AVERAGE(D3:D9)</f>
        <v>17.271428571428569</v>
      </c>
      <c r="E12" s="99"/>
      <c r="F12" s="99"/>
      <c r="G12" s="99"/>
      <c r="H12" s="99"/>
      <c r="I12" s="99">
        <f t="shared" si="2"/>
        <v>576.71428571428567</v>
      </c>
      <c r="J12" s="98">
        <f>AVERAGE(J3:J9)</f>
        <v>1541.2685714285712</v>
      </c>
    </row>
    <row r="13" spans="1:11" x14ac:dyDescent="0.25">
      <c r="B13" s="92" t="s">
        <v>544</v>
      </c>
    </row>
    <row r="14" spans="1:11" x14ac:dyDescent="0.25">
      <c r="B14" s="219" t="s">
        <v>545</v>
      </c>
      <c r="C14" s="219"/>
    </row>
  </sheetData>
  <sortState ref="B3:K8">
    <sortCondition ref="B3:B8"/>
    <sortCondition ref="C3:C8"/>
  </sortState>
  <phoneticPr fontId="9" type="noConversion"/>
  <hyperlinks>
    <hyperlink ref="K4" r:id="rId1"/>
    <hyperlink ref="K8" r:id="rId2"/>
  </hyperlinks>
  <pageMargins left="0.7" right="0.7" top="0.75" bottom="0.75" header="0.3" footer="0.3"/>
  <pageSetup scale="63" fitToHeight="0" orientation="portrait" horizontalDpi="4294967292" verticalDpi="4294967292" r:id="rId3"/>
  <extLst>
    <ext xmlns:mx="http://schemas.microsoft.com/office/mac/excel/2008/main" uri="{64002731-A6B0-56B0-2670-7721B7C09600}">
      <mx:PLV Mode="1" OnePage="0" WScale="0"/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I22"/>
  <sheetViews>
    <sheetView view="pageLayout" workbookViewId="0">
      <selection activeCell="G7" sqref="G7"/>
    </sheetView>
  </sheetViews>
  <sheetFormatPr defaultColWidth="8.875" defaultRowHeight="15.75" x14ac:dyDescent="0.25"/>
  <cols>
    <col min="1" max="1" width="4.625" bestFit="1" customWidth="1"/>
    <col min="2" max="2" width="11.5" bestFit="1" customWidth="1"/>
    <col min="3" max="3" width="12.125" customWidth="1"/>
    <col min="4" max="4" width="22.875" bestFit="1" customWidth="1"/>
    <col min="5" max="5" width="6.5" customWidth="1"/>
    <col min="6" max="6" width="4.625" bestFit="1" customWidth="1"/>
    <col min="7" max="7" width="5.625" customWidth="1"/>
    <col min="8" max="8" width="10.5" bestFit="1" customWidth="1"/>
    <col min="9" max="9" width="20.875" style="38" bestFit="1" customWidth="1"/>
  </cols>
  <sheetData>
    <row r="1" spans="1:9" x14ac:dyDescent="0.25">
      <c r="A1" t="s">
        <v>371</v>
      </c>
    </row>
    <row r="2" spans="1:9" ht="84.75" x14ac:dyDescent="0.25">
      <c r="A2" s="1" t="s">
        <v>27</v>
      </c>
      <c r="B2" s="2" t="s">
        <v>28</v>
      </c>
      <c r="C2" s="2" t="s">
        <v>30</v>
      </c>
      <c r="D2" s="2" t="s">
        <v>129</v>
      </c>
      <c r="E2" s="14" t="s">
        <v>31</v>
      </c>
      <c r="F2" s="2" t="s">
        <v>139</v>
      </c>
      <c r="G2" s="2" t="s">
        <v>37</v>
      </c>
      <c r="H2" s="15" t="s">
        <v>39</v>
      </c>
      <c r="I2" s="36" t="s">
        <v>14</v>
      </c>
    </row>
    <row r="3" spans="1:9" s="92" customFormat="1" x14ac:dyDescent="0.25">
      <c r="A3" s="83">
        <v>8</v>
      </c>
      <c r="B3" s="375" t="s">
        <v>137</v>
      </c>
      <c r="C3" s="267" t="s">
        <v>140</v>
      </c>
      <c r="D3" s="267" t="s">
        <v>136</v>
      </c>
      <c r="E3" s="85" t="s">
        <v>43</v>
      </c>
      <c r="F3" s="223">
        <v>2</v>
      </c>
      <c r="G3" s="87">
        <v>240</v>
      </c>
      <c r="H3" s="88">
        <v>269</v>
      </c>
      <c r="I3" s="221" t="s">
        <v>248</v>
      </c>
    </row>
    <row r="4" spans="1:9" s="92" customFormat="1" x14ac:dyDescent="0.25">
      <c r="A4" s="83"/>
      <c r="B4" s="375" t="s">
        <v>137</v>
      </c>
      <c r="C4" s="267" t="s">
        <v>138</v>
      </c>
      <c r="D4" s="267" t="s">
        <v>136</v>
      </c>
      <c r="E4" s="85" t="s">
        <v>43</v>
      </c>
      <c r="F4" s="223">
        <v>3</v>
      </c>
      <c r="G4" s="87">
        <v>252</v>
      </c>
      <c r="H4" s="88">
        <v>350</v>
      </c>
      <c r="I4" s="221" t="s">
        <v>248</v>
      </c>
    </row>
    <row r="5" spans="1:9" s="92" customFormat="1" x14ac:dyDescent="0.25">
      <c r="A5" s="83"/>
      <c r="B5" s="84" t="s">
        <v>68</v>
      </c>
      <c r="C5" s="325" t="s">
        <v>127</v>
      </c>
      <c r="D5" s="267" t="s">
        <v>136</v>
      </c>
      <c r="E5" s="85" t="s">
        <v>147</v>
      </c>
      <c r="F5" s="91">
        <v>2</v>
      </c>
      <c r="G5" s="272">
        <v>157</v>
      </c>
      <c r="H5" s="88">
        <v>369</v>
      </c>
      <c r="I5" s="221" t="s">
        <v>244</v>
      </c>
    </row>
    <row r="6" spans="1:9" s="219" customFormat="1" x14ac:dyDescent="0.25">
      <c r="A6" s="260">
        <v>1</v>
      </c>
      <c r="B6" s="261" t="s">
        <v>68</v>
      </c>
      <c r="C6" s="262" t="s">
        <v>128</v>
      </c>
      <c r="D6" s="262" t="s">
        <v>136</v>
      </c>
      <c r="E6" s="351" t="s">
        <v>147</v>
      </c>
      <c r="F6" s="263">
        <v>3</v>
      </c>
      <c r="G6" s="264">
        <v>168</v>
      </c>
      <c r="H6" s="355">
        <v>399</v>
      </c>
      <c r="I6" s="356" t="s">
        <v>244</v>
      </c>
    </row>
    <row r="7" spans="1:9" s="92" customFormat="1" x14ac:dyDescent="0.25">
      <c r="A7" s="83"/>
      <c r="B7" s="84" t="s">
        <v>68</v>
      </c>
      <c r="C7" s="267" t="s">
        <v>144</v>
      </c>
      <c r="D7" s="285" t="s">
        <v>145</v>
      </c>
      <c r="E7" s="85" t="s">
        <v>146</v>
      </c>
      <c r="F7" s="223">
        <v>3</v>
      </c>
      <c r="G7" s="87">
        <v>1420</v>
      </c>
      <c r="H7" s="88">
        <v>2999</v>
      </c>
      <c r="I7" s="221" t="s">
        <v>244</v>
      </c>
    </row>
    <row r="8" spans="1:9" s="92" customFormat="1" x14ac:dyDescent="0.25">
      <c r="A8" s="83"/>
      <c r="B8" s="84" t="s">
        <v>226</v>
      </c>
      <c r="C8" s="267" t="s">
        <v>227</v>
      </c>
      <c r="D8" s="285" t="s">
        <v>230</v>
      </c>
      <c r="E8" s="85" t="s">
        <v>42</v>
      </c>
      <c r="F8" s="223">
        <v>2</v>
      </c>
      <c r="G8" s="87">
        <v>410</v>
      </c>
      <c r="H8" s="88">
        <v>869</v>
      </c>
      <c r="I8" s="221" t="s">
        <v>261</v>
      </c>
    </row>
    <row r="9" spans="1:9" s="92" customFormat="1" x14ac:dyDescent="0.25">
      <c r="A9" s="83"/>
      <c r="B9" s="84" t="s">
        <v>226</v>
      </c>
      <c r="C9" s="267" t="s">
        <v>228</v>
      </c>
      <c r="D9" s="285" t="s">
        <v>229</v>
      </c>
      <c r="E9" s="85" t="s">
        <v>42</v>
      </c>
      <c r="F9" s="223">
        <v>2</v>
      </c>
      <c r="G9" s="87">
        <v>590</v>
      </c>
      <c r="H9" s="88">
        <v>975</v>
      </c>
      <c r="I9" s="221" t="s">
        <v>261</v>
      </c>
    </row>
    <row r="10" spans="1:9" s="92" customFormat="1" x14ac:dyDescent="0.25">
      <c r="A10" s="83">
        <v>1</v>
      </c>
      <c r="B10" s="84" t="s">
        <v>141</v>
      </c>
      <c r="C10" s="267" t="s">
        <v>143</v>
      </c>
      <c r="D10" s="267" t="s">
        <v>136</v>
      </c>
      <c r="E10" s="85" t="s">
        <v>142</v>
      </c>
      <c r="F10" s="223">
        <v>2</v>
      </c>
      <c r="G10" s="87">
        <v>200</v>
      </c>
      <c r="H10" s="326">
        <v>139</v>
      </c>
      <c r="I10" s="221" t="s">
        <v>248</v>
      </c>
    </row>
    <row r="11" spans="1:9" x14ac:dyDescent="0.25">
      <c r="A11" s="40"/>
      <c r="B11" s="40"/>
      <c r="C11" s="51"/>
      <c r="D11" s="51"/>
      <c r="E11" s="41"/>
      <c r="F11" s="97" t="s">
        <v>377</v>
      </c>
      <c r="G11" s="43">
        <f>MIN(G3:G10)</f>
        <v>157</v>
      </c>
      <c r="H11" s="93">
        <f>MIN(H3:H10)</f>
        <v>139</v>
      </c>
      <c r="I11" s="34">
        <f ca="1">NOW()</f>
        <v>41741.59949479167</v>
      </c>
    </row>
    <row r="12" spans="1:9" x14ac:dyDescent="0.25">
      <c r="A12" s="44"/>
      <c r="B12" s="55"/>
      <c r="C12" s="56"/>
      <c r="D12" s="92" t="s">
        <v>544</v>
      </c>
      <c r="E12" s="58"/>
      <c r="F12" s="46" t="s">
        <v>378</v>
      </c>
      <c r="G12" s="43">
        <f>MAX(G4:G11)</f>
        <v>1420</v>
      </c>
      <c r="H12" s="93">
        <f>MAX(H4:H11)</f>
        <v>2999</v>
      </c>
      <c r="I12"/>
    </row>
    <row r="13" spans="1:9" x14ac:dyDescent="0.25">
      <c r="C13" s="100"/>
      <c r="D13" s="218" t="s">
        <v>553</v>
      </c>
      <c r="F13" s="46" t="s">
        <v>379</v>
      </c>
      <c r="G13" s="43">
        <f>AVERAGE(G5:G12)</f>
        <v>565.25</v>
      </c>
      <c r="H13" s="93">
        <f>AVERAGE(H5:H12)</f>
        <v>1111</v>
      </c>
      <c r="I13"/>
    </row>
    <row r="14" spans="1:9" x14ac:dyDescent="0.25">
      <c r="C14" s="100"/>
      <c r="H14" s="38"/>
      <c r="I14"/>
    </row>
    <row r="15" spans="1:9" x14ac:dyDescent="0.25">
      <c r="C15" s="100"/>
      <c r="D15" s="92" t="s">
        <v>565</v>
      </c>
      <c r="H15" s="38"/>
      <c r="I15"/>
    </row>
    <row r="16" spans="1:9" x14ac:dyDescent="0.25">
      <c r="C16" s="100"/>
      <c r="D16" s="319" t="s">
        <v>569</v>
      </c>
    </row>
    <row r="17" spans="3:4" x14ac:dyDescent="0.25">
      <c r="C17" s="100"/>
      <c r="D17" s="321" t="s">
        <v>570</v>
      </c>
    </row>
    <row r="18" spans="3:4" x14ac:dyDescent="0.25">
      <c r="C18" s="100"/>
    </row>
    <row r="19" spans="3:4" x14ac:dyDescent="0.25">
      <c r="C19" s="100"/>
      <c r="D19" s="92" t="s">
        <v>580</v>
      </c>
    </row>
    <row r="20" spans="3:4" x14ac:dyDescent="0.25">
      <c r="D20" s="376" t="s">
        <v>588</v>
      </c>
    </row>
    <row r="22" spans="3:4" x14ac:dyDescent="0.25">
      <c r="D22" s="219" t="s">
        <v>584</v>
      </c>
    </row>
  </sheetData>
  <sortState ref="B2:I9">
    <sortCondition ref="B2:B9"/>
    <sortCondition ref="C2:C9"/>
  </sortState>
  <phoneticPr fontId="9" type="noConversion"/>
  <hyperlinks>
    <hyperlink ref="I5" r:id="rId1"/>
    <hyperlink ref="I6" r:id="rId2"/>
    <hyperlink ref="I7" r:id="rId3"/>
    <hyperlink ref="I3" r:id="rId4"/>
    <hyperlink ref="I4" r:id="rId5"/>
    <hyperlink ref="I8" r:id="rId6"/>
    <hyperlink ref="I9" r:id="rId7"/>
    <hyperlink ref="I10" r:id="rId8"/>
  </hyperlinks>
  <pageMargins left="0.7" right="0.7" top="0.75" bottom="0.75" header="0.3" footer="0.3"/>
  <pageSetup scale="85" orientation="portrait" horizontalDpi="4294967292" verticalDpi="4294967292" r:id="rId9"/>
  <extLst>
    <ext xmlns:mx="http://schemas.microsoft.com/office/mac/excel/2008/main" uri="{64002731-A6B0-56B0-2670-7721B7C09600}">
      <mx:PLV Mode="1" OnePage="0" WScale="100"/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V67"/>
  <sheetViews>
    <sheetView tabSelected="1" zoomScale="75" zoomScaleNormal="75" workbookViewId="0">
      <pane ySplit="1" topLeftCell="A5" activePane="bottomLeft" state="frozen"/>
      <selection pane="bottomLeft" activeCell="T26" sqref="T26"/>
    </sheetView>
  </sheetViews>
  <sheetFormatPr defaultColWidth="8.875" defaultRowHeight="15.75" x14ac:dyDescent="0.25"/>
  <cols>
    <col min="1" max="1" width="3.625" customWidth="1"/>
    <col min="2" max="2" width="9" bestFit="1" customWidth="1"/>
    <col min="3" max="3" width="12.625" bestFit="1" customWidth="1"/>
    <col min="4" max="4" width="13.125" bestFit="1" customWidth="1"/>
    <col min="5" max="5" width="6.25" style="148" bestFit="1" customWidth="1"/>
    <col min="6" max="6" width="4.625" style="24" bestFit="1" customWidth="1"/>
    <col min="7" max="7" width="4.625" style="25" bestFit="1" customWidth="1"/>
    <col min="8" max="8" width="5.375" bestFit="1" customWidth="1"/>
    <col min="9" max="9" width="4.625" bestFit="1" customWidth="1"/>
    <col min="10" max="10" width="5.875" bestFit="1" customWidth="1"/>
    <col min="11" max="11" width="7.125" bestFit="1" customWidth="1"/>
    <col min="12" max="13" width="4.625" bestFit="1" customWidth="1"/>
    <col min="14" max="14" width="4.875" bestFit="1" customWidth="1"/>
    <col min="15" max="15" width="4.625" bestFit="1" customWidth="1"/>
    <col min="16" max="16" width="4.625" style="26" bestFit="1" customWidth="1"/>
    <col min="17" max="17" width="5" style="27" bestFit="1" customWidth="1"/>
    <col min="18" max="18" width="8.625" bestFit="1" customWidth="1"/>
    <col min="19" max="19" width="25" bestFit="1" customWidth="1"/>
    <col min="20" max="20" width="18" bestFit="1" customWidth="1"/>
    <col min="21" max="22" width="36.125" bestFit="1" customWidth="1"/>
  </cols>
  <sheetData>
    <row r="1" spans="1:22" s="17" customFormat="1" ht="132" x14ac:dyDescent="0.25">
      <c r="A1" s="113" t="s">
        <v>27</v>
      </c>
      <c r="B1" s="111" t="s">
        <v>28</v>
      </c>
      <c r="C1" s="111" t="s">
        <v>29</v>
      </c>
      <c r="D1" s="111" t="s">
        <v>30</v>
      </c>
      <c r="E1" s="146" t="s">
        <v>31</v>
      </c>
      <c r="F1" s="113" t="s">
        <v>32</v>
      </c>
      <c r="G1" s="114" t="s">
        <v>260</v>
      </c>
      <c r="H1" s="113" t="s">
        <v>33</v>
      </c>
      <c r="I1" s="113" t="s">
        <v>34</v>
      </c>
      <c r="J1" s="113" t="s">
        <v>35</v>
      </c>
      <c r="K1" s="113" t="s">
        <v>36</v>
      </c>
      <c r="L1" s="113" t="s">
        <v>262</v>
      </c>
      <c r="M1" s="113" t="s">
        <v>263</v>
      </c>
      <c r="N1" s="113" t="s">
        <v>258</v>
      </c>
      <c r="O1" s="113" t="s">
        <v>259</v>
      </c>
      <c r="P1" s="113" t="s">
        <v>37</v>
      </c>
      <c r="Q1" s="115" t="s">
        <v>38</v>
      </c>
      <c r="R1" s="115" t="s">
        <v>39</v>
      </c>
      <c r="S1" s="147" t="s">
        <v>14</v>
      </c>
      <c r="T1" s="147" t="s">
        <v>620</v>
      </c>
    </row>
    <row r="2" spans="1:22" s="92" customFormat="1" ht="15" customHeight="1" x14ac:dyDescent="0.25">
      <c r="A2" s="151">
        <v>37</v>
      </c>
      <c r="B2" s="273" t="s">
        <v>218</v>
      </c>
      <c r="C2" s="273" t="s">
        <v>265</v>
      </c>
      <c r="D2" s="274" t="s">
        <v>295</v>
      </c>
      <c r="E2" s="244">
        <v>12</v>
      </c>
      <c r="F2" s="275">
        <v>330</v>
      </c>
      <c r="G2" s="276">
        <v>1.33</v>
      </c>
      <c r="H2" s="226">
        <v>3500</v>
      </c>
      <c r="I2" s="226">
        <v>60</v>
      </c>
      <c r="J2" s="277">
        <v>3.1E-2</v>
      </c>
      <c r="K2" s="230">
        <v>10</v>
      </c>
      <c r="L2" s="230">
        <v>100</v>
      </c>
      <c r="M2" s="276">
        <v>5.98</v>
      </c>
      <c r="N2" s="226">
        <v>40</v>
      </c>
      <c r="O2" s="233">
        <v>68.099999999999994</v>
      </c>
      <c r="P2" s="230">
        <v>460</v>
      </c>
      <c r="Q2" s="230">
        <v>80</v>
      </c>
      <c r="R2" s="150">
        <v>199.99</v>
      </c>
      <c r="S2" s="250" t="s">
        <v>382</v>
      </c>
    </row>
    <row r="3" spans="1:22" s="92" customFormat="1" x14ac:dyDescent="0.25">
      <c r="A3" s="151"/>
      <c r="B3" s="273" t="s">
        <v>218</v>
      </c>
      <c r="C3" s="273" t="s">
        <v>265</v>
      </c>
      <c r="D3" s="274" t="s">
        <v>296</v>
      </c>
      <c r="E3" s="244">
        <v>12</v>
      </c>
      <c r="F3" s="275">
        <v>450</v>
      </c>
      <c r="G3" s="276">
        <v>1.85</v>
      </c>
      <c r="H3" s="226">
        <v>3300</v>
      </c>
      <c r="I3" s="226">
        <v>75</v>
      </c>
      <c r="J3" s="277">
        <v>0.02</v>
      </c>
      <c r="K3" s="230">
        <v>10</v>
      </c>
      <c r="L3" s="230">
        <v>100</v>
      </c>
      <c r="M3" s="276">
        <v>5.98</v>
      </c>
      <c r="N3" s="226">
        <v>40</v>
      </c>
      <c r="O3" s="233">
        <v>68.099999999999994</v>
      </c>
      <c r="P3" s="230">
        <v>460</v>
      </c>
      <c r="Q3" s="230">
        <v>100</v>
      </c>
      <c r="R3" s="150">
        <v>199.99</v>
      </c>
      <c r="S3" s="250" t="s">
        <v>382</v>
      </c>
    </row>
    <row r="4" spans="1:22" s="92" customFormat="1" x14ac:dyDescent="0.25">
      <c r="A4" s="151"/>
      <c r="B4" s="273" t="s">
        <v>218</v>
      </c>
      <c r="C4" s="273" t="s">
        <v>265</v>
      </c>
      <c r="D4" s="274" t="s">
        <v>297</v>
      </c>
      <c r="E4" s="244">
        <v>12</v>
      </c>
      <c r="F4" s="275">
        <v>500</v>
      </c>
      <c r="G4" s="276">
        <v>2.02</v>
      </c>
      <c r="H4" s="226">
        <v>4600</v>
      </c>
      <c r="I4" s="226">
        <v>84</v>
      </c>
      <c r="J4" s="277">
        <v>1.6E-2</v>
      </c>
      <c r="K4" s="230">
        <v>10</v>
      </c>
      <c r="L4" s="230">
        <v>100</v>
      </c>
      <c r="M4" s="276">
        <v>5.98</v>
      </c>
      <c r="N4" s="226">
        <v>40</v>
      </c>
      <c r="O4" s="233">
        <v>68.099999999999994</v>
      </c>
      <c r="P4" s="230">
        <v>460</v>
      </c>
      <c r="Q4" s="230">
        <v>100</v>
      </c>
      <c r="R4" s="150">
        <v>199.99</v>
      </c>
      <c r="S4" s="250" t="s">
        <v>382</v>
      </c>
    </row>
    <row r="5" spans="1:22" s="92" customFormat="1" x14ac:dyDescent="0.25">
      <c r="A5" s="151"/>
      <c r="B5" s="273" t="s">
        <v>218</v>
      </c>
      <c r="C5" s="273" t="s">
        <v>265</v>
      </c>
      <c r="D5" s="274" t="s">
        <v>298</v>
      </c>
      <c r="E5" s="244">
        <v>12</v>
      </c>
      <c r="F5" s="275">
        <v>530</v>
      </c>
      <c r="G5" s="276">
        <v>2.15</v>
      </c>
      <c r="H5" s="226">
        <v>4400</v>
      </c>
      <c r="I5" s="226">
        <v>80</v>
      </c>
      <c r="J5" s="277">
        <v>1.4999999999999999E-2</v>
      </c>
      <c r="K5" s="230">
        <v>10</v>
      </c>
      <c r="L5" s="230">
        <v>100</v>
      </c>
      <c r="M5" s="276">
        <v>5.98</v>
      </c>
      <c r="N5" s="226">
        <v>40</v>
      </c>
      <c r="O5" s="233">
        <v>68.099999999999994</v>
      </c>
      <c r="P5" s="230">
        <v>460</v>
      </c>
      <c r="Q5" s="230">
        <v>100</v>
      </c>
      <c r="R5" s="150">
        <v>199.99</v>
      </c>
      <c r="S5" s="250" t="s">
        <v>382</v>
      </c>
    </row>
    <row r="6" spans="1:22" s="92" customFormat="1" x14ac:dyDescent="0.25">
      <c r="A6" s="151"/>
      <c r="B6" s="273" t="s">
        <v>218</v>
      </c>
      <c r="C6" s="273" t="s">
        <v>265</v>
      </c>
      <c r="D6" s="274" t="s">
        <v>299</v>
      </c>
      <c r="E6" s="244">
        <v>12</v>
      </c>
      <c r="F6" s="275">
        <v>560</v>
      </c>
      <c r="G6" s="276">
        <v>2.2400000000000002</v>
      </c>
      <c r="H6" s="226">
        <v>5200</v>
      </c>
      <c r="I6" s="226">
        <v>100</v>
      </c>
      <c r="J6" s="277">
        <v>1.4E-2</v>
      </c>
      <c r="K6" s="230">
        <v>10</v>
      </c>
      <c r="L6" s="230">
        <v>100</v>
      </c>
      <c r="M6" s="276">
        <v>5.98</v>
      </c>
      <c r="N6" s="226">
        <v>40</v>
      </c>
      <c r="O6" s="233">
        <v>68.099999999999994</v>
      </c>
      <c r="P6" s="230">
        <v>460</v>
      </c>
      <c r="Q6" s="230">
        <v>120</v>
      </c>
      <c r="R6" s="150">
        <v>199.99</v>
      </c>
      <c r="S6" s="250" t="s">
        <v>382</v>
      </c>
    </row>
    <row r="7" spans="1:22" s="100" customFormat="1" x14ac:dyDescent="0.25">
      <c r="A7" s="127"/>
      <c r="B7" s="128"/>
      <c r="C7" s="128"/>
      <c r="D7" s="101"/>
      <c r="E7" s="149"/>
      <c r="F7" s="130"/>
      <c r="G7" s="131"/>
      <c r="H7" s="132"/>
      <c r="I7" s="132"/>
      <c r="J7" s="133"/>
      <c r="K7" s="134"/>
      <c r="L7" s="134"/>
      <c r="M7" s="131"/>
      <c r="N7" s="132"/>
      <c r="O7" s="135"/>
      <c r="P7" s="134"/>
      <c r="Q7" s="134"/>
      <c r="R7" s="136"/>
      <c r="S7" s="129"/>
    </row>
    <row r="8" spans="1:22" s="100" customFormat="1" x14ac:dyDescent="0.25">
      <c r="A8" s="127">
        <v>1</v>
      </c>
      <c r="B8" s="128" t="s">
        <v>218</v>
      </c>
      <c r="C8" s="128" t="s">
        <v>257</v>
      </c>
      <c r="D8" s="101" t="s">
        <v>301</v>
      </c>
      <c r="E8" s="149" t="s">
        <v>147</v>
      </c>
      <c r="F8" s="130">
        <v>360</v>
      </c>
      <c r="G8" s="131">
        <v>0.34</v>
      </c>
      <c r="H8" s="132">
        <v>510</v>
      </c>
      <c r="I8" s="132">
        <v>23</v>
      </c>
      <c r="J8" s="133">
        <v>0.152</v>
      </c>
      <c r="K8" s="134">
        <v>14</v>
      </c>
      <c r="L8" s="135">
        <v>36.5</v>
      </c>
      <c r="M8" s="131">
        <v>3.98</v>
      </c>
      <c r="N8" s="132">
        <v>40</v>
      </c>
      <c r="O8" s="135">
        <v>32.17</v>
      </c>
      <c r="P8" s="134">
        <v>152</v>
      </c>
      <c r="Q8" s="134">
        <v>30</v>
      </c>
      <c r="R8" s="136">
        <v>99.99</v>
      </c>
      <c r="S8" s="129" t="s">
        <v>382</v>
      </c>
      <c r="U8" s="100" t="s">
        <v>614</v>
      </c>
      <c r="V8" s="100" t="s">
        <v>615</v>
      </c>
    </row>
    <row r="9" spans="1:22" s="100" customFormat="1" x14ac:dyDescent="0.25">
      <c r="A9" s="127">
        <v>2</v>
      </c>
      <c r="B9" s="128" t="s">
        <v>218</v>
      </c>
      <c r="C9" s="128" t="s">
        <v>257</v>
      </c>
      <c r="D9" s="101" t="s">
        <v>300</v>
      </c>
      <c r="E9" s="149" t="s">
        <v>264</v>
      </c>
      <c r="F9" s="130">
        <v>340</v>
      </c>
      <c r="G9" s="131">
        <v>0.47</v>
      </c>
      <c r="H9" s="132">
        <v>740</v>
      </c>
      <c r="I9" s="132">
        <v>25</v>
      </c>
      <c r="J9" s="133">
        <v>0.108</v>
      </c>
      <c r="K9" s="134">
        <v>14</v>
      </c>
      <c r="L9" s="134">
        <v>41</v>
      </c>
      <c r="M9" s="131">
        <v>3.98</v>
      </c>
      <c r="N9" s="132">
        <v>40</v>
      </c>
      <c r="O9" s="135">
        <v>37.17</v>
      </c>
      <c r="P9" s="134">
        <v>194</v>
      </c>
      <c r="Q9" s="134">
        <v>30</v>
      </c>
      <c r="R9" s="136">
        <v>109.99</v>
      </c>
      <c r="S9" s="129" t="s">
        <v>382</v>
      </c>
      <c r="U9" s="100" t="s">
        <v>616</v>
      </c>
      <c r="V9" s="100" t="s">
        <v>617</v>
      </c>
    </row>
    <row r="10" spans="1:22" s="100" customFormat="1" x14ac:dyDescent="0.25">
      <c r="A10" s="127"/>
      <c r="B10" s="128"/>
      <c r="C10" s="128"/>
      <c r="D10" s="101"/>
      <c r="E10" s="149"/>
      <c r="F10" s="130"/>
      <c r="G10" s="131"/>
      <c r="H10" s="132"/>
      <c r="I10" s="132"/>
      <c r="J10" s="133"/>
      <c r="K10" s="134"/>
      <c r="L10" s="134"/>
      <c r="M10" s="131"/>
      <c r="N10" s="132"/>
      <c r="O10" s="135"/>
      <c r="P10" s="134"/>
      <c r="Q10" s="134"/>
      <c r="R10" s="136"/>
      <c r="S10" s="129"/>
    </row>
    <row r="11" spans="1:22" s="92" customFormat="1" x14ac:dyDescent="0.25">
      <c r="A11" s="151"/>
      <c r="B11" s="273" t="s">
        <v>218</v>
      </c>
      <c r="C11" s="273" t="s">
        <v>266</v>
      </c>
      <c r="D11" s="274" t="s">
        <v>302</v>
      </c>
      <c r="E11" s="244">
        <v>6</v>
      </c>
      <c r="F11" s="275">
        <v>420</v>
      </c>
      <c r="G11" s="276">
        <v>0.91</v>
      </c>
      <c r="H11" s="226">
        <v>1500</v>
      </c>
      <c r="I11" s="393">
        <v>70</v>
      </c>
      <c r="J11" s="277">
        <v>3.4000000000000002E-2</v>
      </c>
      <c r="K11" s="230">
        <v>14</v>
      </c>
      <c r="L11" s="233">
        <v>78.400000000000006</v>
      </c>
      <c r="M11" s="276">
        <v>5.98</v>
      </c>
      <c r="N11" s="226">
        <v>40</v>
      </c>
      <c r="O11" s="233">
        <v>46.15</v>
      </c>
      <c r="P11" s="230">
        <v>288</v>
      </c>
      <c r="Q11" s="230">
        <v>80</v>
      </c>
      <c r="R11" s="278">
        <v>139.99</v>
      </c>
      <c r="S11" s="250" t="s">
        <v>382</v>
      </c>
    </row>
    <row r="12" spans="1:22" s="92" customFormat="1" x14ac:dyDescent="0.25">
      <c r="A12" s="151"/>
      <c r="B12" s="273" t="s">
        <v>218</v>
      </c>
      <c r="C12" s="273" t="s">
        <v>266</v>
      </c>
      <c r="D12" s="274" t="s">
        <v>303</v>
      </c>
      <c r="E12" s="244">
        <v>6</v>
      </c>
      <c r="F12" s="275">
        <v>540</v>
      </c>
      <c r="G12" s="276">
        <v>1.22</v>
      </c>
      <c r="H12" s="226">
        <v>1850</v>
      </c>
      <c r="I12" s="393">
        <v>85</v>
      </c>
      <c r="J12" s="277">
        <v>3.4000000000000002E-2</v>
      </c>
      <c r="K12" s="230">
        <v>14</v>
      </c>
      <c r="L12" s="233">
        <v>78.400000000000006</v>
      </c>
      <c r="M12" s="276">
        <v>5.98</v>
      </c>
      <c r="N12" s="226">
        <v>40</v>
      </c>
      <c r="O12" s="233">
        <v>46.15</v>
      </c>
      <c r="P12" s="230">
        <v>288</v>
      </c>
      <c r="Q12" s="230">
        <v>90</v>
      </c>
      <c r="R12" s="278">
        <v>139.99</v>
      </c>
      <c r="S12" s="250" t="s">
        <v>382</v>
      </c>
    </row>
    <row r="13" spans="1:22" s="92" customFormat="1" x14ac:dyDescent="0.25">
      <c r="A13" s="151"/>
      <c r="B13" s="273" t="s">
        <v>218</v>
      </c>
      <c r="C13" s="273" t="s">
        <v>266</v>
      </c>
      <c r="D13" s="274" t="s">
        <v>304</v>
      </c>
      <c r="E13" s="244">
        <v>5</v>
      </c>
      <c r="F13" s="275">
        <v>630</v>
      </c>
      <c r="G13" s="276">
        <v>1.54</v>
      </c>
      <c r="H13" s="226">
        <v>1500</v>
      </c>
      <c r="I13" s="393">
        <v>95</v>
      </c>
      <c r="J13" s="277">
        <v>3.4000000000000002E-2</v>
      </c>
      <c r="K13" s="230">
        <v>14</v>
      </c>
      <c r="L13" s="233">
        <v>78.400000000000006</v>
      </c>
      <c r="M13" s="276">
        <v>5.98</v>
      </c>
      <c r="N13" s="226">
        <v>40</v>
      </c>
      <c r="O13" s="233">
        <v>46.15</v>
      </c>
      <c r="P13" s="230">
        <v>288</v>
      </c>
      <c r="Q13" s="230">
        <v>100</v>
      </c>
      <c r="R13" s="278">
        <v>139.99</v>
      </c>
      <c r="S13" s="250" t="s">
        <v>382</v>
      </c>
    </row>
    <row r="14" spans="1:22" s="100" customFormat="1" x14ac:dyDescent="0.25">
      <c r="A14" s="127"/>
      <c r="B14" s="128"/>
      <c r="C14" s="128"/>
      <c r="D14" s="101"/>
      <c r="E14" s="149"/>
      <c r="F14" s="130"/>
      <c r="G14" s="131"/>
      <c r="H14" s="132"/>
      <c r="I14" s="132"/>
      <c r="J14" s="133"/>
      <c r="K14" s="134"/>
      <c r="L14" s="135"/>
      <c r="M14" s="131"/>
      <c r="N14" s="132"/>
      <c r="O14" s="135"/>
      <c r="P14" s="134"/>
      <c r="Q14" s="134"/>
      <c r="R14" s="136"/>
      <c r="S14" s="129"/>
    </row>
    <row r="15" spans="1:22" s="92" customFormat="1" x14ac:dyDescent="0.25">
      <c r="A15" s="151"/>
      <c r="B15" s="273" t="s">
        <v>218</v>
      </c>
      <c r="C15" s="273" t="s">
        <v>266</v>
      </c>
      <c r="D15" s="274" t="s">
        <v>305</v>
      </c>
      <c r="E15" s="244">
        <v>8</v>
      </c>
      <c r="F15" s="275">
        <v>330</v>
      </c>
      <c r="G15" s="276">
        <v>0.74</v>
      </c>
      <c r="H15" s="226">
        <v>2000</v>
      </c>
      <c r="I15" s="226">
        <v>75</v>
      </c>
      <c r="J15" s="277">
        <v>3.6999999999999998E-2</v>
      </c>
      <c r="K15" s="230">
        <v>14</v>
      </c>
      <c r="L15" s="230">
        <v>85</v>
      </c>
      <c r="M15" s="276">
        <v>5.98</v>
      </c>
      <c r="N15" s="226">
        <v>40</v>
      </c>
      <c r="O15" s="233">
        <v>54.1</v>
      </c>
      <c r="P15" s="280">
        <v>353</v>
      </c>
      <c r="Q15" s="230">
        <v>80</v>
      </c>
      <c r="R15" s="278">
        <v>149.99</v>
      </c>
      <c r="S15" s="250" t="s">
        <v>382</v>
      </c>
    </row>
    <row r="16" spans="1:22" s="92" customFormat="1" x14ac:dyDescent="0.25">
      <c r="A16" s="151"/>
      <c r="B16" s="273" t="s">
        <v>218</v>
      </c>
      <c r="C16" s="273" t="s">
        <v>266</v>
      </c>
      <c r="D16" s="274" t="s">
        <v>306</v>
      </c>
      <c r="E16" s="244">
        <v>7</v>
      </c>
      <c r="F16" s="275">
        <v>440</v>
      </c>
      <c r="G16" s="276">
        <v>1.1000000000000001</v>
      </c>
      <c r="H16" s="226">
        <v>2000</v>
      </c>
      <c r="I16" s="226">
        <v>85</v>
      </c>
      <c r="J16" s="277">
        <v>2.5000000000000001E-2</v>
      </c>
      <c r="K16" s="230">
        <v>14</v>
      </c>
      <c r="L16" s="230">
        <v>85</v>
      </c>
      <c r="M16" s="276">
        <v>5.98</v>
      </c>
      <c r="N16" s="226">
        <v>40</v>
      </c>
      <c r="O16" s="233">
        <v>54.1</v>
      </c>
      <c r="P16" s="280">
        <v>353</v>
      </c>
      <c r="Q16" s="230">
        <v>90</v>
      </c>
      <c r="R16" s="278">
        <v>149.99</v>
      </c>
      <c r="S16" s="250" t="s">
        <v>382</v>
      </c>
    </row>
    <row r="17" spans="1:21" s="92" customFormat="1" x14ac:dyDescent="0.25">
      <c r="A17" s="151"/>
      <c r="B17" s="273" t="s">
        <v>218</v>
      </c>
      <c r="C17" s="273" t="s">
        <v>266</v>
      </c>
      <c r="D17" s="274" t="s">
        <v>307</v>
      </c>
      <c r="E17" s="244">
        <v>6</v>
      </c>
      <c r="F17" s="275">
        <v>520</v>
      </c>
      <c r="G17" s="276">
        <v>1.4</v>
      </c>
      <c r="H17" s="226">
        <v>2000</v>
      </c>
      <c r="I17" s="226">
        <v>100</v>
      </c>
      <c r="J17" s="277">
        <v>1.6E-2</v>
      </c>
      <c r="K17" s="230">
        <v>14</v>
      </c>
      <c r="L17" s="230">
        <v>85</v>
      </c>
      <c r="M17" s="276">
        <v>5.98</v>
      </c>
      <c r="N17" s="226">
        <v>40</v>
      </c>
      <c r="O17" s="233">
        <v>54.1</v>
      </c>
      <c r="P17" s="280">
        <v>353</v>
      </c>
      <c r="Q17" s="230">
        <v>110</v>
      </c>
      <c r="R17" s="278">
        <v>149.99</v>
      </c>
      <c r="S17" s="250" t="s">
        <v>382</v>
      </c>
    </row>
    <row r="18" spans="1:21" s="100" customFormat="1" x14ac:dyDescent="0.25">
      <c r="A18" s="127"/>
      <c r="B18" s="128"/>
      <c r="C18" s="128"/>
      <c r="D18" s="101"/>
      <c r="E18" s="149"/>
      <c r="F18" s="130"/>
      <c r="G18" s="131"/>
      <c r="H18" s="132"/>
      <c r="I18" s="132"/>
      <c r="J18" s="133"/>
      <c r="K18" s="134"/>
      <c r="L18" s="134"/>
      <c r="M18" s="131"/>
      <c r="N18" s="132"/>
      <c r="O18" s="135"/>
      <c r="P18" s="134"/>
      <c r="Q18" s="134"/>
      <c r="R18" s="136"/>
      <c r="S18" s="129"/>
    </row>
    <row r="19" spans="1:21" s="92" customFormat="1" x14ac:dyDescent="0.25">
      <c r="A19" s="151"/>
      <c r="B19" s="273" t="s">
        <v>218</v>
      </c>
      <c r="C19" s="273" t="s">
        <v>266</v>
      </c>
      <c r="D19" s="274" t="s">
        <v>308</v>
      </c>
      <c r="E19" s="244">
        <v>12</v>
      </c>
      <c r="F19" s="275">
        <v>250</v>
      </c>
      <c r="G19" s="276">
        <v>0.69</v>
      </c>
      <c r="H19" s="226">
        <v>2700</v>
      </c>
      <c r="I19" s="226">
        <v>65</v>
      </c>
      <c r="J19" s="277">
        <v>3.6999999999999998E-2</v>
      </c>
      <c r="K19" s="230">
        <v>14</v>
      </c>
      <c r="L19" s="230">
        <v>95</v>
      </c>
      <c r="M19" s="276">
        <v>7.98</v>
      </c>
      <c r="N19" s="226">
        <v>40</v>
      </c>
      <c r="O19" s="233">
        <v>64.900000000000006</v>
      </c>
      <c r="P19" s="230">
        <v>450</v>
      </c>
      <c r="Q19" s="230">
        <v>70</v>
      </c>
      <c r="R19" s="150">
        <v>169.99</v>
      </c>
      <c r="S19" s="250" t="s">
        <v>382</v>
      </c>
    </row>
    <row r="20" spans="1:21" s="92" customFormat="1" x14ac:dyDescent="0.25">
      <c r="A20" s="151"/>
      <c r="B20" s="273" t="s">
        <v>218</v>
      </c>
      <c r="C20" s="273" t="s">
        <v>266</v>
      </c>
      <c r="D20" s="274" t="s">
        <v>309</v>
      </c>
      <c r="E20" s="244">
        <v>11</v>
      </c>
      <c r="F20" s="275">
        <v>330</v>
      </c>
      <c r="G20" s="276">
        <v>1.41</v>
      </c>
      <c r="H20" s="226">
        <v>2400</v>
      </c>
      <c r="I20" s="226">
        <v>65</v>
      </c>
      <c r="J20" s="277">
        <v>3.1E-2</v>
      </c>
      <c r="K20" s="230">
        <v>10</v>
      </c>
      <c r="L20" s="230">
        <v>95</v>
      </c>
      <c r="M20" s="276">
        <v>7.98</v>
      </c>
      <c r="N20" s="226">
        <v>40</v>
      </c>
      <c r="O20" s="233">
        <v>64.900000000000006</v>
      </c>
      <c r="P20" s="230">
        <v>435</v>
      </c>
      <c r="Q20" s="230">
        <v>70</v>
      </c>
      <c r="R20" s="150">
        <v>169.99</v>
      </c>
      <c r="S20" s="250" t="s">
        <v>382</v>
      </c>
    </row>
    <row r="21" spans="1:21" s="92" customFormat="1" x14ac:dyDescent="0.25">
      <c r="A21" s="151"/>
      <c r="B21" s="273" t="s">
        <v>218</v>
      </c>
      <c r="C21" s="273" t="s">
        <v>266</v>
      </c>
      <c r="D21" s="274" t="s">
        <v>310</v>
      </c>
      <c r="E21" s="244">
        <v>11</v>
      </c>
      <c r="F21" s="275">
        <v>380</v>
      </c>
      <c r="G21" s="276">
        <v>1.52</v>
      </c>
      <c r="H21" s="226">
        <v>2600</v>
      </c>
      <c r="I21" s="226">
        <v>70</v>
      </c>
      <c r="J21" s="277">
        <v>2.5000000000000001E-2</v>
      </c>
      <c r="K21" s="230">
        <v>10</v>
      </c>
      <c r="L21" s="230">
        <v>95</v>
      </c>
      <c r="M21" s="276">
        <v>7.98</v>
      </c>
      <c r="N21" s="226">
        <v>40</v>
      </c>
      <c r="O21" s="233">
        <v>64.900000000000006</v>
      </c>
      <c r="P21" s="230">
        <v>435</v>
      </c>
      <c r="Q21" s="230">
        <v>80</v>
      </c>
      <c r="R21" s="150">
        <v>169.99</v>
      </c>
      <c r="S21" s="250" t="s">
        <v>382</v>
      </c>
    </row>
    <row r="22" spans="1:21" s="92" customFormat="1" x14ac:dyDescent="0.25">
      <c r="A22" s="151"/>
      <c r="B22" s="273" t="s">
        <v>69</v>
      </c>
      <c r="C22" s="273" t="s">
        <v>70</v>
      </c>
      <c r="D22" s="274" t="s">
        <v>311</v>
      </c>
      <c r="E22" s="279" t="s">
        <v>71</v>
      </c>
      <c r="F22" s="275">
        <v>330</v>
      </c>
      <c r="G22" s="276">
        <v>1.1000000000000001</v>
      </c>
      <c r="H22" s="226">
        <v>750</v>
      </c>
      <c r="I22" s="226">
        <v>25</v>
      </c>
      <c r="J22" s="277">
        <v>8.5000000000000006E-2</v>
      </c>
      <c r="K22" s="230">
        <v>18</v>
      </c>
      <c r="L22" s="230">
        <v>14</v>
      </c>
      <c r="M22" s="230">
        <v>4</v>
      </c>
      <c r="N22" s="226">
        <v>44.8</v>
      </c>
      <c r="O22" s="233">
        <v>34.5</v>
      </c>
      <c r="P22" s="230">
        <v>149</v>
      </c>
      <c r="Q22" s="230">
        <v>30</v>
      </c>
      <c r="R22" s="150">
        <v>194.9</v>
      </c>
      <c r="S22" s="250" t="s">
        <v>380</v>
      </c>
    </row>
    <row r="23" spans="1:21" s="100" customFormat="1" x14ac:dyDescent="0.25">
      <c r="A23" s="127"/>
      <c r="B23" s="128"/>
      <c r="C23" s="128"/>
      <c r="D23" s="101"/>
      <c r="E23" s="149"/>
      <c r="F23" s="130"/>
      <c r="G23" s="131"/>
      <c r="H23" s="132"/>
      <c r="I23" s="132"/>
      <c r="J23" s="133"/>
      <c r="K23" s="134"/>
      <c r="L23" s="134"/>
      <c r="M23" s="134"/>
      <c r="N23" s="132"/>
      <c r="O23" s="135"/>
      <c r="P23" s="134"/>
      <c r="Q23" s="134"/>
      <c r="R23" s="136"/>
      <c r="S23" s="129"/>
    </row>
    <row r="24" spans="1:21" s="100" customFormat="1" x14ac:dyDescent="0.25">
      <c r="A24" s="127">
        <v>3</v>
      </c>
      <c r="B24" s="128" t="s">
        <v>69</v>
      </c>
      <c r="C24" s="128" t="s">
        <v>269</v>
      </c>
      <c r="D24" s="101" t="s">
        <v>381</v>
      </c>
      <c r="E24" s="149" t="s">
        <v>41</v>
      </c>
      <c r="F24" s="130">
        <v>700</v>
      </c>
      <c r="G24" s="131">
        <v>0.5</v>
      </c>
      <c r="H24" s="132">
        <v>500</v>
      </c>
      <c r="I24" s="132">
        <v>25</v>
      </c>
      <c r="J24" s="133">
        <v>0.05</v>
      </c>
      <c r="K24" s="134">
        <v>14</v>
      </c>
      <c r="L24" s="134" t="s">
        <v>42</v>
      </c>
      <c r="M24" s="134">
        <v>4</v>
      </c>
      <c r="N24" s="132">
        <v>41.8</v>
      </c>
      <c r="O24" s="135">
        <v>30.75</v>
      </c>
      <c r="P24" s="134">
        <v>97</v>
      </c>
      <c r="Q24" s="134">
        <v>30</v>
      </c>
      <c r="R24" s="136">
        <v>109.9</v>
      </c>
      <c r="S24" s="129" t="s">
        <v>380</v>
      </c>
      <c r="U24" s="100" t="s">
        <v>605</v>
      </c>
    </row>
    <row r="25" spans="1:21" s="92" customFormat="1" x14ac:dyDescent="0.25">
      <c r="A25" s="151">
        <v>4</v>
      </c>
      <c r="B25" s="273" t="s">
        <v>69</v>
      </c>
      <c r="C25" s="273" t="s">
        <v>269</v>
      </c>
      <c r="D25" s="274" t="s">
        <v>270</v>
      </c>
      <c r="E25" s="279" t="s">
        <v>264</v>
      </c>
      <c r="F25" s="275">
        <v>400</v>
      </c>
      <c r="G25" s="276">
        <v>0.3</v>
      </c>
      <c r="H25" s="226">
        <v>850</v>
      </c>
      <c r="I25" s="226">
        <v>30</v>
      </c>
      <c r="J25" s="277">
        <v>0.11600000000000001</v>
      </c>
      <c r="K25" s="230">
        <v>14</v>
      </c>
      <c r="L25" s="230" t="s">
        <v>42</v>
      </c>
      <c r="M25" s="230">
        <v>4</v>
      </c>
      <c r="N25" s="226">
        <v>42.5</v>
      </c>
      <c r="O25" s="233">
        <v>37.5</v>
      </c>
      <c r="P25" s="230">
        <v>156</v>
      </c>
      <c r="Q25" s="230">
        <v>35</v>
      </c>
      <c r="R25" s="278">
        <v>125.9</v>
      </c>
      <c r="S25" s="250" t="s">
        <v>380</v>
      </c>
      <c r="T25" s="397" t="s">
        <v>621</v>
      </c>
      <c r="U25" s="92" t="s">
        <v>613</v>
      </c>
    </row>
    <row r="26" spans="1:21" s="92" customFormat="1" x14ac:dyDescent="0.25">
      <c r="A26" s="151"/>
      <c r="B26" s="273" t="s">
        <v>69</v>
      </c>
      <c r="C26" s="273" t="s">
        <v>269</v>
      </c>
      <c r="D26" s="274" t="s">
        <v>271</v>
      </c>
      <c r="E26" s="279" t="s">
        <v>264</v>
      </c>
      <c r="F26" s="275">
        <v>420</v>
      </c>
      <c r="G26" s="276">
        <v>1.1000000000000001</v>
      </c>
      <c r="H26" s="381">
        <v>1180</v>
      </c>
      <c r="I26" s="226">
        <v>40</v>
      </c>
      <c r="J26" s="277">
        <v>3.3000000000000002E-2</v>
      </c>
      <c r="K26" s="230">
        <v>14</v>
      </c>
      <c r="L26" s="230" t="s">
        <v>42</v>
      </c>
      <c r="M26" s="230">
        <v>4</v>
      </c>
      <c r="N26" s="233">
        <v>60.7</v>
      </c>
      <c r="O26" s="233">
        <v>39.5</v>
      </c>
      <c r="P26" s="230">
        <v>255</v>
      </c>
      <c r="Q26" s="230">
        <v>40</v>
      </c>
      <c r="R26" s="278">
        <v>149.9</v>
      </c>
      <c r="S26" s="250" t="s">
        <v>380</v>
      </c>
    </row>
    <row r="27" spans="1:21" s="92" customFormat="1" x14ac:dyDescent="0.25">
      <c r="A27" s="151"/>
      <c r="B27" s="273" t="s">
        <v>69</v>
      </c>
      <c r="C27" s="273" t="s">
        <v>269</v>
      </c>
      <c r="D27" s="274" t="s">
        <v>272</v>
      </c>
      <c r="E27" s="279" t="s">
        <v>264</v>
      </c>
      <c r="F27" s="275">
        <v>490</v>
      </c>
      <c r="G27" s="276">
        <v>1.1000000000000001</v>
      </c>
      <c r="H27" s="381">
        <v>1300</v>
      </c>
      <c r="I27" s="226">
        <v>44</v>
      </c>
      <c r="J27" s="277">
        <v>2.1000000000000001E-2</v>
      </c>
      <c r="K27" s="230">
        <v>14</v>
      </c>
      <c r="L27" s="230" t="s">
        <v>42</v>
      </c>
      <c r="M27" s="230">
        <v>4</v>
      </c>
      <c r="N27" s="233">
        <v>60.7</v>
      </c>
      <c r="O27" s="233">
        <v>39.5</v>
      </c>
      <c r="P27" s="230">
        <v>258</v>
      </c>
      <c r="Q27" s="230">
        <v>44</v>
      </c>
      <c r="R27" s="278">
        <v>149.9</v>
      </c>
      <c r="S27" s="250" t="s">
        <v>380</v>
      </c>
    </row>
    <row r="28" spans="1:21" s="100" customFormat="1" x14ac:dyDescent="0.25">
      <c r="A28" s="127"/>
      <c r="B28" s="128"/>
      <c r="C28" s="128"/>
      <c r="D28" s="101"/>
      <c r="E28" s="149"/>
      <c r="F28" s="130"/>
      <c r="G28" s="131"/>
      <c r="H28" s="132"/>
      <c r="I28" s="132"/>
      <c r="J28" s="133"/>
      <c r="K28" s="134"/>
      <c r="L28" s="134"/>
      <c r="M28" s="134"/>
      <c r="N28" s="135"/>
      <c r="O28" s="135"/>
      <c r="P28" s="134"/>
      <c r="Q28" s="134"/>
      <c r="R28" s="136"/>
      <c r="S28" s="129"/>
    </row>
    <row r="29" spans="1:21" s="92" customFormat="1" x14ac:dyDescent="0.25">
      <c r="A29" s="151"/>
      <c r="B29" s="273" t="s">
        <v>69</v>
      </c>
      <c r="C29" s="273" t="s">
        <v>267</v>
      </c>
      <c r="D29" s="273" t="s">
        <v>273</v>
      </c>
      <c r="E29" s="380" t="s">
        <v>41</v>
      </c>
      <c r="F29" s="275">
        <v>740</v>
      </c>
      <c r="G29" s="276">
        <v>0.5</v>
      </c>
      <c r="H29" s="226">
        <v>500</v>
      </c>
      <c r="I29" s="226">
        <v>27</v>
      </c>
      <c r="J29" s="277">
        <v>0.13600000000000001</v>
      </c>
      <c r="K29" s="230">
        <v>24</v>
      </c>
      <c r="L29" s="230">
        <v>6</v>
      </c>
      <c r="M29" s="230">
        <v>4</v>
      </c>
      <c r="N29" s="226">
        <v>40</v>
      </c>
      <c r="O29" s="233">
        <v>24</v>
      </c>
      <c r="P29" s="230">
        <v>92</v>
      </c>
      <c r="Q29" s="230">
        <v>30</v>
      </c>
      <c r="R29" s="278">
        <v>82.9</v>
      </c>
      <c r="S29" s="250" t="s">
        <v>380</v>
      </c>
      <c r="T29" s="396" t="s">
        <v>604</v>
      </c>
    </row>
    <row r="30" spans="1:21" s="92" customFormat="1" x14ac:dyDescent="0.25">
      <c r="A30" s="151"/>
      <c r="B30" s="273" t="s">
        <v>69</v>
      </c>
      <c r="C30" s="273" t="s">
        <v>268</v>
      </c>
      <c r="D30" s="274" t="s">
        <v>274</v>
      </c>
      <c r="E30" s="279" t="s">
        <v>147</v>
      </c>
      <c r="F30" s="275">
        <v>360</v>
      </c>
      <c r="G30" s="276">
        <v>0.4</v>
      </c>
      <c r="H30" s="381">
        <v>330</v>
      </c>
      <c r="I30" s="226">
        <v>15</v>
      </c>
      <c r="J30" s="277">
        <v>0.188</v>
      </c>
      <c r="K30" s="230">
        <v>14</v>
      </c>
      <c r="L30" s="230">
        <v>10</v>
      </c>
      <c r="M30" s="230">
        <v>4</v>
      </c>
      <c r="N30" s="226">
        <v>35</v>
      </c>
      <c r="O30" s="233">
        <v>28.5</v>
      </c>
      <c r="P30" s="230">
        <v>97</v>
      </c>
      <c r="Q30" s="230">
        <v>20</v>
      </c>
      <c r="R30" s="278">
        <v>79.900000000000006</v>
      </c>
      <c r="S30" s="250" t="s">
        <v>380</v>
      </c>
    </row>
    <row r="31" spans="1:21" s="92" customFormat="1" x14ac:dyDescent="0.25">
      <c r="A31" s="151"/>
      <c r="B31" s="273" t="s">
        <v>69</v>
      </c>
      <c r="C31" s="273" t="s">
        <v>268</v>
      </c>
      <c r="D31" s="274" t="s">
        <v>275</v>
      </c>
      <c r="E31" s="380" t="s">
        <v>41</v>
      </c>
      <c r="F31" s="275">
        <v>630</v>
      </c>
      <c r="G31" s="276">
        <v>0.5</v>
      </c>
      <c r="H31" s="381">
        <v>495</v>
      </c>
      <c r="I31" s="226">
        <v>22</v>
      </c>
      <c r="J31" s="277">
        <v>6.5000000000000002E-2</v>
      </c>
      <c r="K31" s="230">
        <v>14</v>
      </c>
      <c r="L31" s="230">
        <v>10</v>
      </c>
      <c r="M31" s="230">
        <v>4</v>
      </c>
      <c r="N31" s="226">
        <v>35</v>
      </c>
      <c r="O31" s="233">
        <v>28.5</v>
      </c>
      <c r="P31" s="230">
        <v>97</v>
      </c>
      <c r="Q31" s="230">
        <v>25</v>
      </c>
      <c r="R31" s="278">
        <v>79.900000000000006</v>
      </c>
      <c r="S31" s="250" t="s">
        <v>380</v>
      </c>
    </row>
    <row r="32" spans="1:21" s="100" customFormat="1" x14ac:dyDescent="0.25">
      <c r="A32" s="127">
        <v>5</v>
      </c>
      <c r="B32" s="128" t="s">
        <v>69</v>
      </c>
      <c r="C32" s="128" t="s">
        <v>268</v>
      </c>
      <c r="D32" s="101" t="s">
        <v>276</v>
      </c>
      <c r="E32" s="379" t="s">
        <v>41</v>
      </c>
      <c r="F32" s="130">
        <v>700</v>
      </c>
      <c r="G32" s="131">
        <v>0.5</v>
      </c>
      <c r="H32" s="132">
        <v>555</v>
      </c>
      <c r="I32" s="132">
        <v>25</v>
      </c>
      <c r="J32" s="133">
        <v>0.05</v>
      </c>
      <c r="K32" s="134">
        <v>14</v>
      </c>
      <c r="L32" s="134">
        <v>10</v>
      </c>
      <c r="M32" s="134">
        <v>4</v>
      </c>
      <c r="N32" s="132">
        <v>35</v>
      </c>
      <c r="O32" s="135">
        <v>28.5</v>
      </c>
      <c r="P32" s="134">
        <v>97</v>
      </c>
      <c r="Q32" s="134">
        <v>25</v>
      </c>
      <c r="R32" s="136">
        <v>79.900000000000006</v>
      </c>
      <c r="S32" s="129" t="s">
        <v>380</v>
      </c>
      <c r="U32" s="100" t="s">
        <v>605</v>
      </c>
    </row>
    <row r="33" spans="1:22" s="100" customFormat="1" x14ac:dyDescent="0.25">
      <c r="A33" s="127"/>
      <c r="B33" s="128"/>
      <c r="C33" s="128"/>
      <c r="D33" s="101"/>
      <c r="E33" s="149"/>
      <c r="F33" s="130"/>
      <c r="G33" s="131"/>
      <c r="H33" s="132"/>
      <c r="I33" s="132"/>
      <c r="J33" s="133"/>
      <c r="K33" s="134"/>
      <c r="L33" s="134"/>
      <c r="M33" s="134"/>
      <c r="N33" s="132"/>
      <c r="O33" s="135"/>
      <c r="P33" s="134"/>
      <c r="Q33" s="134"/>
      <c r="R33" s="136"/>
      <c r="S33" s="129"/>
    </row>
    <row r="34" spans="1:22" s="92" customFormat="1" x14ac:dyDescent="0.25">
      <c r="A34" s="151"/>
      <c r="B34" s="273" t="s">
        <v>69</v>
      </c>
      <c r="C34" s="273" t="s">
        <v>268</v>
      </c>
      <c r="D34" s="274" t="s">
        <v>277</v>
      </c>
      <c r="E34" s="279" t="s">
        <v>71</v>
      </c>
      <c r="F34" s="275">
        <v>400</v>
      </c>
      <c r="G34" s="276">
        <v>0.3</v>
      </c>
      <c r="H34" s="381">
        <v>900</v>
      </c>
      <c r="I34" s="226">
        <v>30</v>
      </c>
      <c r="J34" s="277">
        <v>0.11600000000000001</v>
      </c>
      <c r="K34" s="230">
        <v>14</v>
      </c>
      <c r="L34" s="230">
        <v>15</v>
      </c>
      <c r="M34" s="230">
        <v>4</v>
      </c>
      <c r="N34" s="226">
        <v>35</v>
      </c>
      <c r="O34" s="233">
        <v>34.5</v>
      </c>
      <c r="P34" s="230">
        <v>183</v>
      </c>
      <c r="Q34" s="230">
        <v>30</v>
      </c>
      <c r="R34" s="278">
        <v>96.9</v>
      </c>
      <c r="S34" s="250" t="s">
        <v>380</v>
      </c>
    </row>
    <row r="35" spans="1:22" s="92" customFormat="1" x14ac:dyDescent="0.25">
      <c r="A35" s="151"/>
      <c r="B35" s="273" t="s">
        <v>69</v>
      </c>
      <c r="C35" s="273" t="s">
        <v>268</v>
      </c>
      <c r="D35" s="274" t="s">
        <v>278</v>
      </c>
      <c r="E35" s="279" t="s">
        <v>71</v>
      </c>
      <c r="F35" s="275">
        <v>400</v>
      </c>
      <c r="G35" s="276">
        <v>1.2</v>
      </c>
      <c r="H35" s="381">
        <v>1140</v>
      </c>
      <c r="I35" s="226">
        <v>38</v>
      </c>
      <c r="J35" s="277">
        <v>8.2000000000000003E-2</v>
      </c>
      <c r="K35" s="230">
        <v>14</v>
      </c>
      <c r="L35" s="230">
        <v>20</v>
      </c>
      <c r="M35" s="230">
        <v>4</v>
      </c>
      <c r="N35" s="226">
        <v>35</v>
      </c>
      <c r="O35" s="233">
        <v>42</v>
      </c>
      <c r="P35" s="230">
        <v>194</v>
      </c>
      <c r="Q35" s="230">
        <v>40</v>
      </c>
      <c r="R35" s="278">
        <v>109.9</v>
      </c>
      <c r="S35" s="250" t="s">
        <v>380</v>
      </c>
    </row>
    <row r="36" spans="1:22" s="100" customFormat="1" x14ac:dyDescent="0.25">
      <c r="A36" s="127"/>
      <c r="B36" s="128"/>
      <c r="C36" s="128"/>
      <c r="D36" s="101"/>
      <c r="E36" s="149"/>
      <c r="F36" s="130"/>
      <c r="G36" s="131"/>
      <c r="H36" s="132"/>
      <c r="I36" s="132"/>
      <c r="J36" s="133"/>
      <c r="K36" s="134"/>
      <c r="L36" s="134"/>
      <c r="M36" s="134"/>
      <c r="N36" s="132"/>
      <c r="O36" s="135"/>
      <c r="P36" s="134"/>
      <c r="Q36" s="134"/>
      <c r="R36" s="136"/>
      <c r="S36" s="129"/>
    </row>
    <row r="37" spans="1:22" s="92" customFormat="1" x14ac:dyDescent="0.25">
      <c r="A37" s="151"/>
      <c r="B37" s="273" t="s">
        <v>69</v>
      </c>
      <c r="C37" s="273" t="s">
        <v>268</v>
      </c>
      <c r="D37" s="274" t="s">
        <v>279</v>
      </c>
      <c r="E37" s="279" t="s">
        <v>71</v>
      </c>
      <c r="F37" s="275">
        <v>370</v>
      </c>
      <c r="G37" s="276">
        <v>0.8</v>
      </c>
      <c r="H37" s="381">
        <v>450</v>
      </c>
      <c r="I37" s="226">
        <v>20</v>
      </c>
      <c r="J37" s="277">
        <v>9.8000000000000004E-2</v>
      </c>
      <c r="K37" s="230">
        <v>24</v>
      </c>
      <c r="L37" s="230">
        <v>10</v>
      </c>
      <c r="M37" s="230">
        <v>4</v>
      </c>
      <c r="N37" s="226">
        <v>40</v>
      </c>
      <c r="O37" s="233">
        <v>30.5</v>
      </c>
      <c r="P37" s="230">
        <v>112</v>
      </c>
      <c r="Q37" s="230">
        <v>20</v>
      </c>
      <c r="R37" s="278">
        <v>86.9</v>
      </c>
      <c r="S37" s="250" t="s">
        <v>380</v>
      </c>
    </row>
    <row r="38" spans="1:22" s="100" customFormat="1" x14ac:dyDescent="0.25">
      <c r="A38" s="127">
        <v>6</v>
      </c>
      <c r="B38" s="128" t="s">
        <v>69</v>
      </c>
      <c r="C38" s="128" t="s">
        <v>268</v>
      </c>
      <c r="D38" s="101" t="s">
        <v>280</v>
      </c>
      <c r="E38" s="149" t="s">
        <v>71</v>
      </c>
      <c r="F38" s="130">
        <v>475</v>
      </c>
      <c r="G38" s="131">
        <v>0.8</v>
      </c>
      <c r="H38" s="132">
        <v>540</v>
      </c>
      <c r="I38" s="132">
        <v>30</v>
      </c>
      <c r="J38" s="133">
        <v>9.8000000000000004E-2</v>
      </c>
      <c r="K38" s="134">
        <v>24</v>
      </c>
      <c r="L38" s="134">
        <v>10</v>
      </c>
      <c r="M38" s="134">
        <v>4</v>
      </c>
      <c r="N38" s="132">
        <v>40</v>
      </c>
      <c r="O38" s="135">
        <v>30.5</v>
      </c>
      <c r="P38" s="134">
        <v>110</v>
      </c>
      <c r="Q38" s="134">
        <v>30</v>
      </c>
      <c r="R38" s="136">
        <v>86.9</v>
      </c>
      <c r="S38" s="129" t="s">
        <v>380</v>
      </c>
      <c r="U38" s="100" t="s">
        <v>606</v>
      </c>
      <c r="V38" s="100" t="s">
        <v>607</v>
      </c>
    </row>
    <row r="39" spans="1:22" s="100" customFormat="1" x14ac:dyDescent="0.25">
      <c r="A39" s="127">
        <v>7</v>
      </c>
      <c r="B39" s="128" t="s">
        <v>69</v>
      </c>
      <c r="C39" s="128" t="s">
        <v>268</v>
      </c>
      <c r="D39" s="101" t="s">
        <v>281</v>
      </c>
      <c r="E39" s="149" t="s">
        <v>71</v>
      </c>
      <c r="F39" s="130">
        <v>580</v>
      </c>
      <c r="G39" s="131">
        <v>1.3</v>
      </c>
      <c r="H39" s="132">
        <v>575</v>
      </c>
      <c r="I39" s="132">
        <v>31</v>
      </c>
      <c r="J39" s="133">
        <v>4.2000000000000003E-2</v>
      </c>
      <c r="K39" s="134">
        <v>24</v>
      </c>
      <c r="L39" s="134">
        <v>10</v>
      </c>
      <c r="M39" s="134">
        <v>4</v>
      </c>
      <c r="N39" s="132">
        <v>40</v>
      </c>
      <c r="O39" s="135">
        <v>30.5</v>
      </c>
      <c r="P39" s="134">
        <v>112</v>
      </c>
      <c r="Q39" s="134">
        <v>40</v>
      </c>
      <c r="R39" s="136">
        <v>86.9</v>
      </c>
      <c r="S39" s="129" t="s">
        <v>380</v>
      </c>
      <c r="U39" s="100" t="s">
        <v>608</v>
      </c>
      <c r="V39" s="100" t="s">
        <v>609</v>
      </c>
    </row>
    <row r="40" spans="1:22" s="100" customFormat="1" x14ac:dyDescent="0.25">
      <c r="A40" s="127"/>
      <c r="B40" s="128"/>
      <c r="C40" s="128"/>
      <c r="D40" s="101"/>
      <c r="E40" s="149"/>
      <c r="F40" s="130"/>
      <c r="G40" s="131"/>
      <c r="H40" s="132"/>
      <c r="I40" s="132"/>
      <c r="J40" s="133"/>
      <c r="K40" s="134"/>
      <c r="L40" s="134"/>
      <c r="M40" s="134"/>
      <c r="N40" s="132"/>
      <c r="O40" s="135"/>
      <c r="P40" s="134"/>
      <c r="Q40" s="134"/>
      <c r="R40" s="136"/>
      <c r="S40" s="129"/>
    </row>
    <row r="41" spans="1:22" s="100" customFormat="1" x14ac:dyDescent="0.25">
      <c r="A41" s="127">
        <v>8</v>
      </c>
      <c r="B41" s="128" t="s">
        <v>69</v>
      </c>
      <c r="C41" s="128" t="s">
        <v>268</v>
      </c>
      <c r="D41" s="101" t="s">
        <v>282</v>
      </c>
      <c r="E41" s="149" t="s">
        <v>71</v>
      </c>
      <c r="F41" s="130">
        <v>340</v>
      </c>
      <c r="G41" s="131">
        <v>0.9</v>
      </c>
      <c r="H41" s="132">
        <v>660</v>
      </c>
      <c r="I41" s="132">
        <v>22</v>
      </c>
      <c r="J41" s="133">
        <v>0.13300000000000001</v>
      </c>
      <c r="K41" s="134">
        <v>24</v>
      </c>
      <c r="L41" s="134">
        <v>12</v>
      </c>
      <c r="M41" s="134">
        <v>4</v>
      </c>
      <c r="N41" s="132">
        <v>40</v>
      </c>
      <c r="O41" s="135">
        <v>32.5</v>
      </c>
      <c r="P41" s="134">
        <v>131</v>
      </c>
      <c r="Q41" s="134">
        <v>30</v>
      </c>
      <c r="R41" s="136">
        <v>92.9</v>
      </c>
      <c r="S41" s="129" t="s">
        <v>380</v>
      </c>
      <c r="U41" s="100" t="s">
        <v>610</v>
      </c>
    </row>
    <row r="42" spans="1:22" s="100" customFormat="1" x14ac:dyDescent="0.25">
      <c r="A42" s="127">
        <v>9</v>
      </c>
      <c r="B42" s="128" t="s">
        <v>69</v>
      </c>
      <c r="C42" s="128" t="s">
        <v>268</v>
      </c>
      <c r="D42" s="101" t="s">
        <v>283</v>
      </c>
      <c r="E42" s="149" t="s">
        <v>71</v>
      </c>
      <c r="F42" s="130">
        <v>400</v>
      </c>
      <c r="G42" s="131">
        <v>1</v>
      </c>
      <c r="H42" s="132">
        <v>750</v>
      </c>
      <c r="I42" s="132">
        <v>25</v>
      </c>
      <c r="J42" s="133">
        <v>7.4999999999999997E-2</v>
      </c>
      <c r="K42" s="134">
        <v>24</v>
      </c>
      <c r="L42" s="134">
        <v>12</v>
      </c>
      <c r="M42" s="134">
        <v>4</v>
      </c>
      <c r="N42" s="132">
        <v>40</v>
      </c>
      <c r="O42" s="135">
        <v>32.5</v>
      </c>
      <c r="P42" s="134">
        <v>128</v>
      </c>
      <c r="Q42" s="134">
        <v>30</v>
      </c>
      <c r="R42" s="136">
        <v>92.9</v>
      </c>
      <c r="S42" s="129" t="s">
        <v>380</v>
      </c>
      <c r="U42" s="100" t="s">
        <v>611</v>
      </c>
    </row>
    <row r="43" spans="1:22" s="92" customFormat="1" x14ac:dyDescent="0.25">
      <c r="A43" s="151"/>
      <c r="B43" s="273" t="s">
        <v>69</v>
      </c>
      <c r="C43" s="273" t="s">
        <v>268</v>
      </c>
      <c r="D43" s="274" t="s">
        <v>284</v>
      </c>
      <c r="E43" s="279" t="s">
        <v>71</v>
      </c>
      <c r="F43" s="275">
        <v>480</v>
      </c>
      <c r="G43" s="276">
        <v>1.3</v>
      </c>
      <c r="H43" s="381">
        <v>870</v>
      </c>
      <c r="I43" s="226">
        <v>29</v>
      </c>
      <c r="J43" s="277">
        <v>5.7000000000000002E-2</v>
      </c>
      <c r="K43" s="230">
        <v>24</v>
      </c>
      <c r="L43" s="230">
        <v>12</v>
      </c>
      <c r="M43" s="230">
        <v>4</v>
      </c>
      <c r="N43" s="226">
        <v>40</v>
      </c>
      <c r="O43" s="233">
        <v>32.5</v>
      </c>
      <c r="P43" s="230">
        <v>134</v>
      </c>
      <c r="Q43" s="230">
        <v>30</v>
      </c>
      <c r="R43" s="278">
        <v>92.9</v>
      </c>
      <c r="S43" s="250" t="s">
        <v>380</v>
      </c>
    </row>
    <row r="44" spans="1:22" s="100" customFormat="1" x14ac:dyDescent="0.25">
      <c r="A44" s="127"/>
      <c r="B44" s="128"/>
      <c r="C44" s="128"/>
      <c r="D44" s="101"/>
      <c r="E44" s="149"/>
      <c r="F44" s="130"/>
      <c r="G44" s="131"/>
      <c r="H44" s="132"/>
      <c r="I44" s="132"/>
      <c r="J44" s="133"/>
      <c r="K44" s="134"/>
      <c r="L44" s="134"/>
      <c r="M44" s="134"/>
      <c r="N44" s="132"/>
      <c r="O44" s="135"/>
      <c r="P44" s="134"/>
      <c r="Q44" s="134"/>
      <c r="R44" s="136"/>
      <c r="S44" s="129"/>
    </row>
    <row r="45" spans="1:22" s="100" customFormat="1" x14ac:dyDescent="0.25">
      <c r="A45" s="127">
        <v>10</v>
      </c>
      <c r="B45" s="128" t="s">
        <v>69</v>
      </c>
      <c r="C45" s="128" t="s">
        <v>268</v>
      </c>
      <c r="D45" s="101" t="s">
        <v>285</v>
      </c>
      <c r="E45" s="149" t="s">
        <v>71</v>
      </c>
      <c r="F45" s="130">
        <v>330</v>
      </c>
      <c r="G45" s="131">
        <v>1.1000000000000001</v>
      </c>
      <c r="H45" s="132">
        <v>750</v>
      </c>
      <c r="I45" s="132">
        <v>25</v>
      </c>
      <c r="J45" s="133">
        <v>8.5000000000000006E-2</v>
      </c>
      <c r="K45" s="134">
        <v>24</v>
      </c>
      <c r="L45" s="134">
        <v>14</v>
      </c>
      <c r="M45" s="134">
        <v>4</v>
      </c>
      <c r="N45" s="132">
        <v>40</v>
      </c>
      <c r="O45" s="135">
        <v>34.5</v>
      </c>
      <c r="P45" s="134">
        <v>149</v>
      </c>
      <c r="Q45" s="134">
        <v>25</v>
      </c>
      <c r="R45" s="136">
        <v>96.9</v>
      </c>
      <c r="S45" s="129" t="s">
        <v>380</v>
      </c>
      <c r="U45" s="100" t="s">
        <v>612</v>
      </c>
    </row>
    <row r="46" spans="1:22" s="92" customFormat="1" x14ac:dyDescent="0.25">
      <c r="A46" s="151"/>
      <c r="B46" s="273" t="s">
        <v>69</v>
      </c>
      <c r="C46" s="273" t="s">
        <v>268</v>
      </c>
      <c r="D46" s="274" t="s">
        <v>286</v>
      </c>
      <c r="E46" s="279" t="s">
        <v>71</v>
      </c>
      <c r="F46" s="275">
        <v>400</v>
      </c>
      <c r="G46" s="276">
        <v>1.3</v>
      </c>
      <c r="H46" s="381">
        <v>900</v>
      </c>
      <c r="I46" s="226">
        <v>30</v>
      </c>
      <c r="J46" s="277">
        <v>6.7000000000000004E-2</v>
      </c>
      <c r="K46" s="230">
        <v>24</v>
      </c>
      <c r="L46" s="230">
        <v>14</v>
      </c>
      <c r="M46" s="230">
        <v>4</v>
      </c>
      <c r="N46" s="226">
        <v>40</v>
      </c>
      <c r="O46" s="233">
        <v>34.5</v>
      </c>
      <c r="P46" s="230">
        <v>150</v>
      </c>
      <c r="Q46" s="230">
        <v>30</v>
      </c>
      <c r="R46" s="278">
        <v>96.9</v>
      </c>
      <c r="S46" s="250" t="s">
        <v>380</v>
      </c>
    </row>
    <row r="47" spans="1:22" s="100" customFormat="1" x14ac:dyDescent="0.25">
      <c r="A47" s="127"/>
      <c r="B47" s="128"/>
      <c r="C47" s="128"/>
      <c r="D47" s="101"/>
      <c r="E47" s="149"/>
      <c r="F47" s="130"/>
      <c r="G47" s="131"/>
      <c r="H47" s="132"/>
      <c r="I47" s="132"/>
      <c r="J47" s="133"/>
      <c r="K47" s="134"/>
      <c r="L47" s="134"/>
      <c r="M47" s="134"/>
      <c r="N47" s="132"/>
      <c r="O47" s="135"/>
      <c r="P47" s="134"/>
      <c r="Q47" s="134"/>
      <c r="R47" s="136"/>
      <c r="S47" s="129"/>
    </row>
    <row r="48" spans="1:22" s="92" customFormat="1" x14ac:dyDescent="0.25">
      <c r="A48" s="151"/>
      <c r="B48" s="273" t="s">
        <v>69</v>
      </c>
      <c r="C48" s="273" t="s">
        <v>268</v>
      </c>
      <c r="D48" s="274" t="s">
        <v>287</v>
      </c>
      <c r="E48" s="279" t="s">
        <v>71</v>
      </c>
      <c r="F48" s="275">
        <v>400</v>
      </c>
      <c r="G48" s="276">
        <v>1.1200000000000001</v>
      </c>
      <c r="H48" s="226">
        <v>1050</v>
      </c>
      <c r="I48" s="393">
        <v>47</v>
      </c>
      <c r="J48" s="277">
        <v>0.03</v>
      </c>
      <c r="K48" s="230">
        <v>14</v>
      </c>
      <c r="L48" s="230">
        <v>20</v>
      </c>
      <c r="M48" s="230">
        <v>4</v>
      </c>
      <c r="N48" s="226">
        <v>41</v>
      </c>
      <c r="O48" s="233">
        <v>42</v>
      </c>
      <c r="P48" s="230">
        <v>253</v>
      </c>
      <c r="Q48" s="230">
        <v>50</v>
      </c>
      <c r="R48" s="278">
        <v>119.9</v>
      </c>
      <c r="S48" s="250" t="s">
        <v>380</v>
      </c>
    </row>
    <row r="49" spans="1:21" s="92" customFormat="1" x14ac:dyDescent="0.25">
      <c r="A49" s="151">
        <v>10</v>
      </c>
      <c r="B49" s="273" t="s">
        <v>69</v>
      </c>
      <c r="C49" s="273" t="s">
        <v>268</v>
      </c>
      <c r="D49" s="274" t="s">
        <v>288</v>
      </c>
      <c r="E49" s="279" t="s">
        <v>71</v>
      </c>
      <c r="F49" s="275">
        <v>465</v>
      </c>
      <c r="G49" s="276">
        <v>1.4</v>
      </c>
      <c r="H49" s="226">
        <v>1200</v>
      </c>
      <c r="I49" s="393">
        <v>50</v>
      </c>
      <c r="J49" s="277">
        <v>2.4E-2</v>
      </c>
      <c r="K49" s="230">
        <v>14</v>
      </c>
      <c r="L49" s="230">
        <v>20</v>
      </c>
      <c r="M49" s="230">
        <v>4</v>
      </c>
      <c r="N49" s="226">
        <v>41</v>
      </c>
      <c r="O49" s="233">
        <v>42</v>
      </c>
      <c r="P49" s="230">
        <v>253</v>
      </c>
      <c r="Q49" s="230">
        <v>50</v>
      </c>
      <c r="R49" s="278">
        <v>119.9</v>
      </c>
      <c r="S49" s="250" t="s">
        <v>380</v>
      </c>
    </row>
    <row r="50" spans="1:21" s="44" customFormat="1" x14ac:dyDescent="0.25">
      <c r="A50" s="40"/>
      <c r="B50" s="40"/>
      <c r="C50" s="40"/>
      <c r="D50" s="41"/>
      <c r="E50" s="41" t="s">
        <v>374</v>
      </c>
      <c r="F50" s="137">
        <f t="shared" ref="F50:P50" si="0">MIN(F48:F49,F45:F46,F41:F43,F37:F39,F34:F35,F25:F27,F11:F13,F8:F9)</f>
        <v>330</v>
      </c>
      <c r="G50" s="138">
        <f t="shared" si="0"/>
        <v>0.3</v>
      </c>
      <c r="H50" s="137">
        <f t="shared" si="0"/>
        <v>450</v>
      </c>
      <c r="I50" s="137">
        <f t="shared" si="0"/>
        <v>20</v>
      </c>
      <c r="J50" s="289">
        <f t="shared" si="0"/>
        <v>2.1000000000000001E-2</v>
      </c>
      <c r="K50" s="137">
        <f t="shared" si="0"/>
        <v>14</v>
      </c>
      <c r="L50" s="137">
        <f t="shared" si="0"/>
        <v>10</v>
      </c>
      <c r="M50" s="137">
        <f t="shared" si="0"/>
        <v>3.98</v>
      </c>
      <c r="N50" s="137">
        <f t="shared" si="0"/>
        <v>35</v>
      </c>
      <c r="O50" s="137">
        <f t="shared" si="0"/>
        <v>30.5</v>
      </c>
      <c r="P50" s="137">
        <f t="shared" si="0"/>
        <v>110</v>
      </c>
      <c r="Q50" s="137">
        <f>MIN(Q48:Q49,Q45:Q46,Q41:Q43,Q37:Q39,Q34:Q35,Q25:Q27,Q11:Q13,Q8:Q9)</f>
        <v>20</v>
      </c>
      <c r="R50" s="139">
        <f>MIN(R48:R49,R45:R46,R41:R43,R37:R39,R34:R35,R25:R27,R11:R13,R8:R9)</f>
        <v>86.9</v>
      </c>
      <c r="S50" s="126">
        <f ca="1">NOW()</f>
        <v>41741.59949479167</v>
      </c>
    </row>
    <row r="51" spans="1:21" s="44" customFormat="1" x14ac:dyDescent="0.25">
      <c r="B51" s="55"/>
      <c r="C51" s="55"/>
      <c r="D51" s="81"/>
      <c r="E51" s="81" t="s">
        <v>375</v>
      </c>
      <c r="F51" s="140">
        <f t="shared" ref="F51:P51" si="1">MAX(F48:F49,F45:F46,F41:F43,F37:F39,F34:F35,F25:F27,F11:F13,F8:F9)</f>
        <v>630</v>
      </c>
      <c r="G51" s="141">
        <f t="shared" si="1"/>
        <v>1.54</v>
      </c>
      <c r="H51" s="140">
        <f t="shared" si="1"/>
        <v>1850</v>
      </c>
      <c r="I51" s="140">
        <f t="shared" si="1"/>
        <v>95</v>
      </c>
      <c r="J51" s="290">
        <f t="shared" si="1"/>
        <v>0.152</v>
      </c>
      <c r="K51" s="140">
        <f t="shared" si="1"/>
        <v>24</v>
      </c>
      <c r="L51" s="140">
        <f t="shared" si="1"/>
        <v>78.400000000000006</v>
      </c>
      <c r="M51" s="140">
        <f t="shared" si="1"/>
        <v>5.98</v>
      </c>
      <c r="N51" s="140">
        <f t="shared" si="1"/>
        <v>60.7</v>
      </c>
      <c r="O51" s="140">
        <f t="shared" si="1"/>
        <v>46.15</v>
      </c>
      <c r="P51" s="140">
        <f t="shared" si="1"/>
        <v>288</v>
      </c>
      <c r="Q51" s="140">
        <f>MAX(Q48:Q49,Q45:Q46,Q41:Q43,Q37:Q39,Q34:Q35,Q25:Q27,Q11:Q13,Q8:Q9)</f>
        <v>100</v>
      </c>
      <c r="R51" s="142">
        <f>MAX(R48:R49,R45:R46,R41:R43,R37:R39,R34:R35,R25:R27,R11:R13,R8:R9)</f>
        <v>149.9</v>
      </c>
      <c r="S51"/>
      <c r="T51" s="59"/>
      <c r="U51" s="59"/>
    </row>
    <row r="52" spans="1:21" x14ac:dyDescent="0.25">
      <c r="D52" s="81"/>
      <c r="E52" s="81" t="s">
        <v>376</v>
      </c>
      <c r="F52" s="143">
        <f t="shared" ref="F52:P52" si="2">AVERAGE(F48:F49,F45:F46,F41:F43,F37:F39,F34:F35,F25:F27,F11:F13,F8:F9)</f>
        <v>432</v>
      </c>
      <c r="G52" s="144">
        <f t="shared" si="2"/>
        <v>0.97499999999999998</v>
      </c>
      <c r="H52" s="143">
        <f t="shared" si="2"/>
        <v>960.75</v>
      </c>
      <c r="I52" s="143">
        <f t="shared" si="2"/>
        <v>39.450000000000003</v>
      </c>
      <c r="J52" s="291">
        <f t="shared" si="2"/>
        <v>7.195E-2</v>
      </c>
      <c r="K52" s="143">
        <f t="shared" si="2"/>
        <v>18</v>
      </c>
      <c r="L52" s="143">
        <f t="shared" si="2"/>
        <v>28.335294117647063</v>
      </c>
      <c r="M52" s="143">
        <f t="shared" si="2"/>
        <v>4.2950000000000008</v>
      </c>
      <c r="N52" s="143">
        <f t="shared" si="2"/>
        <v>41.795000000000002</v>
      </c>
      <c r="O52" s="143">
        <f t="shared" si="2"/>
        <v>37.139499999999991</v>
      </c>
      <c r="P52" s="143">
        <f t="shared" si="2"/>
        <v>189.4</v>
      </c>
      <c r="Q52" s="143">
        <f>AVERAGE(Q48:Q49,Q45:Q46,Q41:Q43,Q37:Q39,Q34:Q35,Q25:Q27,Q11:Q13,Q8:Q9)</f>
        <v>42.7</v>
      </c>
      <c r="R52" s="145">
        <f>AVERAGE(R48:R49,R45:R46,R41:R43,R37:R39,R34:R35,R25:R27,R11:R13,R8:R9)</f>
        <v>111.77249999999999</v>
      </c>
    </row>
    <row r="53" spans="1:21" x14ac:dyDescent="0.25">
      <c r="C53" s="92" t="s">
        <v>544</v>
      </c>
    </row>
    <row r="54" spans="1:21" x14ac:dyDescent="0.25">
      <c r="C54" s="218" t="s">
        <v>551</v>
      </c>
    </row>
    <row r="55" spans="1:21" x14ac:dyDescent="0.25">
      <c r="C55" s="220" t="s">
        <v>552</v>
      </c>
    </row>
    <row r="56" spans="1:21" x14ac:dyDescent="0.25">
      <c r="C56" s="281" t="s">
        <v>546</v>
      </c>
    </row>
    <row r="58" spans="1:21" x14ac:dyDescent="0.25">
      <c r="C58" s="92" t="s">
        <v>565</v>
      </c>
    </row>
    <row r="59" spans="1:21" x14ac:dyDescent="0.25">
      <c r="C59" s="321" t="s">
        <v>575</v>
      </c>
    </row>
    <row r="61" spans="1:21" x14ac:dyDescent="0.25">
      <c r="C61" s="92" t="s">
        <v>580</v>
      </c>
    </row>
    <row r="62" spans="1:21" x14ac:dyDescent="0.25">
      <c r="C62" t="s">
        <v>592</v>
      </c>
    </row>
    <row r="63" spans="1:21" x14ac:dyDescent="0.25">
      <c r="C63" s="376" t="s">
        <v>593</v>
      </c>
      <c r="D63" s="376"/>
    </row>
    <row r="65" spans="3:3" x14ac:dyDescent="0.25">
      <c r="C65" s="92" t="s">
        <v>618</v>
      </c>
    </row>
    <row r="66" spans="3:3" x14ac:dyDescent="0.25">
      <c r="C66" s="395" t="s">
        <v>619</v>
      </c>
    </row>
    <row r="67" spans="3:3" x14ac:dyDescent="0.25">
      <c r="C67" s="397" t="s">
        <v>621</v>
      </c>
    </row>
  </sheetData>
  <sortState ref="B2:S37">
    <sortCondition ref="B2:B37"/>
    <sortCondition ref="C2:C37"/>
    <sortCondition ref="D2:D37"/>
  </sortState>
  <phoneticPr fontId="9" type="noConversion"/>
  <hyperlinks>
    <hyperlink ref="S8" r:id="rId1"/>
    <hyperlink ref="S48" r:id="rId2"/>
    <hyperlink ref="S49" r:id="rId3"/>
    <hyperlink ref="S45" r:id="rId4"/>
    <hyperlink ref="S46" r:id="rId5"/>
    <hyperlink ref="S41" r:id="rId6"/>
    <hyperlink ref="S42" r:id="rId7"/>
    <hyperlink ref="S43" r:id="rId8"/>
    <hyperlink ref="S37" r:id="rId9"/>
    <hyperlink ref="S38" r:id="rId10"/>
    <hyperlink ref="S39" r:id="rId11"/>
    <hyperlink ref="S30" r:id="rId12"/>
    <hyperlink ref="S31" r:id="rId13"/>
    <hyperlink ref="S32" r:id="rId14"/>
    <hyperlink ref="S29" r:id="rId15"/>
    <hyperlink ref="S22" r:id="rId16"/>
    <hyperlink ref="S25" r:id="rId17"/>
    <hyperlink ref="S26" r:id="rId18"/>
    <hyperlink ref="S27" r:id="rId19"/>
    <hyperlink ref="S34" r:id="rId20"/>
    <hyperlink ref="S35" r:id="rId21"/>
    <hyperlink ref="S24" r:id="rId22"/>
    <hyperlink ref="S2" r:id="rId23"/>
    <hyperlink ref="S3" r:id="rId24"/>
    <hyperlink ref="S4" r:id="rId25"/>
    <hyperlink ref="S5" r:id="rId26"/>
    <hyperlink ref="S6" r:id="rId27"/>
    <hyperlink ref="S9" r:id="rId28"/>
    <hyperlink ref="S11" r:id="rId29"/>
    <hyperlink ref="S12" r:id="rId30"/>
    <hyperlink ref="S13" r:id="rId31"/>
    <hyperlink ref="S15" r:id="rId32"/>
    <hyperlink ref="S16" r:id="rId33"/>
    <hyperlink ref="S17" r:id="rId34"/>
    <hyperlink ref="S19" r:id="rId35"/>
    <hyperlink ref="S20" r:id="rId36"/>
    <hyperlink ref="S21" r:id="rId37"/>
  </hyperlinks>
  <pageMargins left="0.7" right="0.7" top="0.75" bottom="0.75" header="0.3" footer="0.3"/>
  <pageSetup scale="63" orientation="portrait" horizontalDpi="4294967292" verticalDpi="4294967292"/>
  <extLst>
    <ext xmlns:mx="http://schemas.microsoft.com/office/mac/excel/2008/main" uri="{64002731-A6B0-56B0-2670-7721B7C09600}">
      <mx:PLV Mode="0" OnePage="0" WScale="100"/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K39"/>
  <sheetViews>
    <sheetView view="pageLayout" topLeftCell="A13" workbookViewId="0">
      <selection activeCell="D24" sqref="D24"/>
    </sheetView>
  </sheetViews>
  <sheetFormatPr defaultColWidth="8.875" defaultRowHeight="15.75" x14ac:dyDescent="0.25"/>
  <cols>
    <col min="1" max="1" width="4.125" customWidth="1"/>
    <col min="2" max="2" width="9.875" bestFit="1" customWidth="1"/>
    <col min="3" max="3" width="14.875" bestFit="1" customWidth="1"/>
    <col min="4" max="4" width="12.375" bestFit="1" customWidth="1"/>
    <col min="5" max="7" width="4.625" bestFit="1" customWidth="1"/>
    <col min="8" max="8" width="4.875" bestFit="1" customWidth="1"/>
    <col min="9" max="9" width="4.875" customWidth="1"/>
    <col min="10" max="10" width="6.875" bestFit="1" customWidth="1"/>
    <col min="11" max="11" width="27.875" customWidth="1"/>
  </cols>
  <sheetData>
    <row r="1" spans="1:11" x14ac:dyDescent="0.25">
      <c r="A1" t="s">
        <v>372</v>
      </c>
    </row>
    <row r="2" spans="1:11" s="64" customFormat="1" ht="92.25" x14ac:dyDescent="0.25">
      <c r="A2" s="65" t="s">
        <v>27</v>
      </c>
      <c r="B2" s="65" t="s">
        <v>28</v>
      </c>
      <c r="C2" s="65" t="s">
        <v>219</v>
      </c>
      <c r="D2" s="65" t="s">
        <v>389</v>
      </c>
      <c r="E2" s="66" t="s">
        <v>220</v>
      </c>
      <c r="F2" s="66" t="s">
        <v>221</v>
      </c>
      <c r="G2" s="67" t="s">
        <v>31</v>
      </c>
      <c r="H2" s="66" t="s">
        <v>222</v>
      </c>
      <c r="I2" s="66" t="s">
        <v>594</v>
      </c>
      <c r="J2" s="68" t="s">
        <v>223</v>
      </c>
      <c r="K2" s="68" t="s">
        <v>14</v>
      </c>
    </row>
    <row r="3" spans="1:11" x14ac:dyDescent="0.25">
      <c r="A3" s="116">
        <v>1</v>
      </c>
      <c r="B3" s="152" t="s">
        <v>388</v>
      </c>
      <c r="C3" s="152" t="s">
        <v>393</v>
      </c>
      <c r="D3" s="152" t="s">
        <v>395</v>
      </c>
      <c r="E3" s="125">
        <v>30</v>
      </c>
      <c r="F3" s="125">
        <v>40</v>
      </c>
      <c r="G3" s="153" t="s">
        <v>142</v>
      </c>
      <c r="H3" s="121">
        <v>25</v>
      </c>
      <c r="I3" s="121"/>
      <c r="J3" s="154">
        <v>19.989999999999998</v>
      </c>
      <c r="K3" s="155" t="s">
        <v>432</v>
      </c>
    </row>
    <row r="4" spans="1:11" x14ac:dyDescent="0.25">
      <c r="A4" s="116">
        <v>2</v>
      </c>
      <c r="B4" s="152" t="s">
        <v>388</v>
      </c>
      <c r="C4" s="152" t="s">
        <v>394</v>
      </c>
      <c r="D4" s="152" t="s">
        <v>395</v>
      </c>
      <c r="E4" s="125">
        <v>40</v>
      </c>
      <c r="F4" s="125">
        <v>60</v>
      </c>
      <c r="G4" s="153" t="s">
        <v>349</v>
      </c>
      <c r="H4" s="121">
        <v>35</v>
      </c>
      <c r="I4" s="121"/>
      <c r="J4" s="154">
        <v>28.5</v>
      </c>
      <c r="K4" s="155" t="s">
        <v>432</v>
      </c>
    </row>
    <row r="5" spans="1:11" x14ac:dyDescent="0.25">
      <c r="A5" s="116">
        <v>3</v>
      </c>
      <c r="B5" s="152" t="s">
        <v>388</v>
      </c>
      <c r="C5" s="152" t="s">
        <v>391</v>
      </c>
      <c r="D5" s="152" t="s">
        <v>390</v>
      </c>
      <c r="E5" s="125">
        <v>30</v>
      </c>
      <c r="F5" s="125">
        <v>45</v>
      </c>
      <c r="G5" s="153" t="s">
        <v>349</v>
      </c>
      <c r="H5" s="125">
        <v>31.6</v>
      </c>
      <c r="I5" s="125"/>
      <c r="J5" s="154">
        <v>26</v>
      </c>
      <c r="K5" s="156" t="s">
        <v>392</v>
      </c>
    </row>
    <row r="6" spans="1:11" x14ac:dyDescent="0.25">
      <c r="A6" s="116"/>
      <c r="B6" s="152"/>
      <c r="C6" s="152"/>
      <c r="D6" s="152"/>
      <c r="E6" s="125"/>
      <c r="F6" s="125"/>
      <c r="G6" s="153"/>
      <c r="H6" s="121"/>
      <c r="I6" s="121"/>
      <c r="J6" s="154"/>
      <c r="K6" s="156"/>
    </row>
    <row r="7" spans="1:11" x14ac:dyDescent="0.25">
      <c r="A7" s="116">
        <v>4</v>
      </c>
      <c r="B7" s="152" t="s">
        <v>396</v>
      </c>
      <c r="C7" s="152" t="s">
        <v>397</v>
      </c>
      <c r="D7" s="152" t="s">
        <v>390</v>
      </c>
      <c r="E7" s="125">
        <v>30</v>
      </c>
      <c r="F7" s="125">
        <v>40</v>
      </c>
      <c r="G7" s="153" t="s">
        <v>142</v>
      </c>
      <c r="H7" s="121">
        <v>27</v>
      </c>
      <c r="I7" s="121"/>
      <c r="J7" s="154">
        <v>30</v>
      </c>
      <c r="K7" s="156" t="s">
        <v>401</v>
      </c>
    </row>
    <row r="8" spans="1:11" x14ac:dyDescent="0.25">
      <c r="A8" s="116">
        <v>5</v>
      </c>
      <c r="B8" s="152" t="s">
        <v>396</v>
      </c>
      <c r="C8" s="152" t="s">
        <v>398</v>
      </c>
      <c r="D8" s="152" t="s">
        <v>390</v>
      </c>
      <c r="E8" s="125">
        <v>35</v>
      </c>
      <c r="F8" s="125">
        <v>50</v>
      </c>
      <c r="G8" s="153" t="s">
        <v>142</v>
      </c>
      <c r="H8" s="121">
        <v>27</v>
      </c>
      <c r="I8" s="121"/>
      <c r="J8" s="154">
        <v>30</v>
      </c>
      <c r="K8" s="156" t="s">
        <v>402</v>
      </c>
    </row>
    <row r="9" spans="1:11" x14ac:dyDescent="0.25">
      <c r="A9" s="116">
        <v>6</v>
      </c>
      <c r="B9" s="152" t="s">
        <v>396</v>
      </c>
      <c r="C9" s="152" t="s">
        <v>399</v>
      </c>
      <c r="D9" s="152" t="s">
        <v>390</v>
      </c>
      <c r="E9" s="125">
        <v>40</v>
      </c>
      <c r="F9" s="125">
        <v>60</v>
      </c>
      <c r="G9" s="153" t="s">
        <v>349</v>
      </c>
      <c r="H9" s="121">
        <v>35</v>
      </c>
      <c r="I9" s="121"/>
      <c r="J9" s="154">
        <v>37</v>
      </c>
      <c r="K9" s="156" t="s">
        <v>403</v>
      </c>
    </row>
    <row r="10" spans="1:11" s="92" customFormat="1" x14ac:dyDescent="0.25">
      <c r="A10" s="151"/>
      <c r="B10" s="273" t="s">
        <v>396</v>
      </c>
      <c r="C10" s="273" t="s">
        <v>400</v>
      </c>
      <c r="D10" s="273" t="s">
        <v>390</v>
      </c>
      <c r="E10" s="337">
        <v>60</v>
      </c>
      <c r="F10" s="252">
        <v>80</v>
      </c>
      <c r="G10" s="332" t="s">
        <v>349</v>
      </c>
      <c r="H10" s="247">
        <v>51</v>
      </c>
      <c r="I10" s="247"/>
      <c r="J10" s="333">
        <v>60</v>
      </c>
      <c r="K10" s="336" t="s">
        <v>404</v>
      </c>
    </row>
    <row r="11" spans="1:11" x14ac:dyDescent="0.25">
      <c r="A11" s="116"/>
      <c r="B11" s="152"/>
      <c r="C11" s="152"/>
      <c r="D11" s="152"/>
      <c r="E11" s="125"/>
      <c r="F11" s="125"/>
      <c r="G11" s="153"/>
      <c r="H11" s="121"/>
      <c r="I11" s="121"/>
      <c r="J11" s="154"/>
      <c r="K11" s="156"/>
    </row>
    <row r="12" spans="1:11" x14ac:dyDescent="0.25">
      <c r="A12" s="116">
        <v>7</v>
      </c>
      <c r="B12" s="152" t="s">
        <v>268</v>
      </c>
      <c r="C12" s="152" t="s">
        <v>405</v>
      </c>
      <c r="D12" s="152" t="s">
        <v>395</v>
      </c>
      <c r="E12" s="125">
        <v>30</v>
      </c>
      <c r="F12" s="125">
        <v>40</v>
      </c>
      <c r="G12" s="153" t="s">
        <v>142</v>
      </c>
      <c r="H12" s="121">
        <v>25</v>
      </c>
      <c r="I12" s="121"/>
      <c r="J12" s="154">
        <v>28.99</v>
      </c>
      <c r="K12" s="156" t="s">
        <v>410</v>
      </c>
    </row>
    <row r="13" spans="1:11" x14ac:dyDescent="0.25">
      <c r="A13" s="116">
        <v>8</v>
      </c>
      <c r="B13" s="152" t="s">
        <v>268</v>
      </c>
      <c r="C13" s="152" t="s">
        <v>406</v>
      </c>
      <c r="D13" s="152" t="s">
        <v>415</v>
      </c>
      <c r="E13" s="125">
        <v>30</v>
      </c>
      <c r="F13" s="125">
        <v>40</v>
      </c>
      <c r="G13" s="153" t="s">
        <v>349</v>
      </c>
      <c r="H13" s="121">
        <v>31</v>
      </c>
      <c r="I13" s="121"/>
      <c r="J13" s="154">
        <v>49.99</v>
      </c>
      <c r="K13" s="155" t="s">
        <v>411</v>
      </c>
    </row>
    <row r="14" spans="1:11" x14ac:dyDescent="0.25">
      <c r="A14" s="116">
        <v>9</v>
      </c>
      <c r="B14" s="152" t="s">
        <v>268</v>
      </c>
      <c r="C14" s="152" t="s">
        <v>407</v>
      </c>
      <c r="D14" s="152" t="s">
        <v>395</v>
      </c>
      <c r="E14" s="125">
        <v>40</v>
      </c>
      <c r="F14" s="125">
        <v>60</v>
      </c>
      <c r="G14" s="153" t="s">
        <v>349</v>
      </c>
      <c r="H14" s="121">
        <v>35</v>
      </c>
      <c r="I14" s="121"/>
      <c r="J14" s="154">
        <v>45.99</v>
      </c>
      <c r="K14" s="155" t="s">
        <v>412</v>
      </c>
    </row>
    <row r="15" spans="1:11" x14ac:dyDescent="0.25">
      <c r="A15" s="116">
        <v>10</v>
      </c>
      <c r="B15" s="152" t="s">
        <v>268</v>
      </c>
      <c r="C15" s="152" t="s">
        <v>408</v>
      </c>
      <c r="D15" s="152" t="s">
        <v>42</v>
      </c>
      <c r="E15" s="125">
        <v>40</v>
      </c>
      <c r="F15" s="125">
        <v>60</v>
      </c>
      <c r="G15" s="153" t="s">
        <v>349</v>
      </c>
      <c r="H15" s="121">
        <v>29</v>
      </c>
      <c r="I15" s="121"/>
      <c r="J15" s="154">
        <v>55.99</v>
      </c>
      <c r="K15" s="156" t="s">
        <v>413</v>
      </c>
    </row>
    <row r="16" spans="1:11" s="92" customFormat="1" x14ac:dyDescent="0.25">
      <c r="A16" s="151"/>
      <c r="B16" s="273" t="s">
        <v>268</v>
      </c>
      <c r="C16" s="273" t="s">
        <v>409</v>
      </c>
      <c r="D16" s="273" t="s">
        <v>395</v>
      </c>
      <c r="E16" s="337">
        <v>60</v>
      </c>
      <c r="F16" s="252">
        <v>80</v>
      </c>
      <c r="G16" s="332" t="s">
        <v>349</v>
      </c>
      <c r="H16" s="247">
        <v>60</v>
      </c>
      <c r="I16" s="247"/>
      <c r="J16" s="333">
        <v>59.99</v>
      </c>
      <c r="K16" s="336" t="s">
        <v>414</v>
      </c>
    </row>
    <row r="17" spans="1:11" x14ac:dyDescent="0.25">
      <c r="A17" s="116"/>
      <c r="B17" s="152"/>
      <c r="C17" s="152"/>
      <c r="D17" s="152"/>
      <c r="E17" s="125"/>
      <c r="F17" s="125"/>
      <c r="G17" s="153"/>
      <c r="H17" s="121"/>
      <c r="I17" s="121"/>
      <c r="J17" s="154"/>
      <c r="K17" s="156"/>
    </row>
    <row r="18" spans="1:11" s="92" customFormat="1" x14ac:dyDescent="0.25">
      <c r="A18" s="151"/>
      <c r="B18" s="389" t="s">
        <v>40</v>
      </c>
      <c r="C18" s="273" t="s">
        <v>424</v>
      </c>
      <c r="D18" s="273" t="s">
        <v>417</v>
      </c>
      <c r="E18" s="252">
        <v>20</v>
      </c>
      <c r="F18" s="252" t="s">
        <v>42</v>
      </c>
      <c r="G18" s="332" t="s">
        <v>142</v>
      </c>
      <c r="H18" s="247">
        <v>25</v>
      </c>
      <c r="I18" s="247"/>
      <c r="J18" s="333">
        <v>10.55</v>
      </c>
      <c r="K18" s="334" t="s">
        <v>428</v>
      </c>
    </row>
    <row r="19" spans="1:11" s="92" customFormat="1" x14ac:dyDescent="0.25">
      <c r="A19" s="151"/>
      <c r="B19" s="389" t="s">
        <v>40</v>
      </c>
      <c r="C19" s="273" t="s">
        <v>425</v>
      </c>
      <c r="D19" s="273" t="s">
        <v>390</v>
      </c>
      <c r="E19" s="252">
        <v>30</v>
      </c>
      <c r="F19" s="252" t="s">
        <v>42</v>
      </c>
      <c r="G19" s="332" t="s">
        <v>142</v>
      </c>
      <c r="H19" s="247">
        <v>32</v>
      </c>
      <c r="I19" s="247"/>
      <c r="J19" s="333">
        <v>11.29</v>
      </c>
      <c r="K19" s="334" t="s">
        <v>429</v>
      </c>
    </row>
    <row r="20" spans="1:11" s="92" customFormat="1" x14ac:dyDescent="0.25">
      <c r="A20" s="151"/>
      <c r="B20" s="389" t="s">
        <v>40</v>
      </c>
      <c r="C20" s="273" t="s">
        <v>426</v>
      </c>
      <c r="D20" s="273" t="s">
        <v>390</v>
      </c>
      <c r="E20" s="252">
        <v>45</v>
      </c>
      <c r="F20" s="252" t="s">
        <v>42</v>
      </c>
      <c r="G20" s="332" t="s">
        <v>349</v>
      </c>
      <c r="H20" s="247">
        <v>63</v>
      </c>
      <c r="I20" s="247"/>
      <c r="J20" s="333">
        <v>19.46</v>
      </c>
      <c r="K20" s="334" t="s">
        <v>430</v>
      </c>
    </row>
    <row r="21" spans="1:11" s="92" customFormat="1" x14ac:dyDescent="0.25">
      <c r="A21" s="151"/>
      <c r="B21" s="273" t="s">
        <v>40</v>
      </c>
      <c r="C21" s="273" t="s">
        <v>427</v>
      </c>
      <c r="D21" s="273" t="s">
        <v>390</v>
      </c>
      <c r="E21" s="337">
        <v>60</v>
      </c>
      <c r="F21" s="252" t="s">
        <v>42</v>
      </c>
      <c r="G21" s="332" t="s">
        <v>349</v>
      </c>
      <c r="H21" s="247">
        <v>62</v>
      </c>
      <c r="I21" s="247"/>
      <c r="J21" s="333">
        <v>22.12</v>
      </c>
      <c r="K21" s="334" t="s">
        <v>431</v>
      </c>
    </row>
    <row r="22" spans="1:11" x14ac:dyDescent="0.25">
      <c r="A22" s="116"/>
      <c r="B22" s="152"/>
      <c r="C22" s="152"/>
      <c r="D22" s="152"/>
      <c r="E22" s="125"/>
      <c r="F22" s="125"/>
      <c r="G22" s="153"/>
      <c r="H22" s="121"/>
      <c r="I22" s="121"/>
      <c r="J22" s="154"/>
      <c r="K22" s="155"/>
    </row>
    <row r="23" spans="1:11" s="92" customFormat="1" x14ac:dyDescent="0.25">
      <c r="A23" s="151"/>
      <c r="B23" s="389" t="s">
        <v>40</v>
      </c>
      <c r="C23" s="273" t="s">
        <v>344</v>
      </c>
      <c r="D23" s="273" t="s">
        <v>416</v>
      </c>
      <c r="E23" s="252">
        <v>25</v>
      </c>
      <c r="F23" s="382" t="s">
        <v>346</v>
      </c>
      <c r="G23" s="383" t="s">
        <v>142</v>
      </c>
      <c r="H23" s="384">
        <v>22</v>
      </c>
      <c r="I23" s="384"/>
      <c r="J23" s="385">
        <v>13.44</v>
      </c>
      <c r="K23" s="386" t="s">
        <v>347</v>
      </c>
    </row>
    <row r="24" spans="1:11" s="92" customFormat="1" x14ac:dyDescent="0.25">
      <c r="A24" s="151"/>
      <c r="B24" s="389" t="s">
        <v>40</v>
      </c>
      <c r="C24" s="273" t="s">
        <v>243</v>
      </c>
      <c r="D24" s="273" t="s">
        <v>416</v>
      </c>
      <c r="E24" s="252">
        <v>30</v>
      </c>
      <c r="F24" s="252">
        <v>40</v>
      </c>
      <c r="G24" s="332" t="s">
        <v>142</v>
      </c>
      <c r="H24" s="247">
        <v>25</v>
      </c>
      <c r="I24" s="247"/>
      <c r="J24" s="333">
        <v>13.13</v>
      </c>
      <c r="K24" s="334" t="s">
        <v>348</v>
      </c>
    </row>
    <row r="25" spans="1:11" s="92" customFormat="1" x14ac:dyDescent="0.25">
      <c r="A25" s="151"/>
      <c r="B25" s="389" t="s">
        <v>40</v>
      </c>
      <c r="C25" s="273" t="s">
        <v>242</v>
      </c>
      <c r="D25" s="273" t="s">
        <v>416</v>
      </c>
      <c r="E25" s="252">
        <v>40</v>
      </c>
      <c r="F25" s="252">
        <v>55</v>
      </c>
      <c r="G25" s="332" t="s">
        <v>349</v>
      </c>
      <c r="H25" s="247">
        <v>33</v>
      </c>
      <c r="I25" s="247"/>
      <c r="J25" s="333">
        <v>21.99</v>
      </c>
      <c r="K25" s="334" t="s">
        <v>350</v>
      </c>
    </row>
    <row r="26" spans="1:11" s="335" customFormat="1" x14ac:dyDescent="0.25">
      <c r="A26" s="151"/>
      <c r="B26" s="273" t="s">
        <v>40</v>
      </c>
      <c r="C26" s="273" t="s">
        <v>345</v>
      </c>
      <c r="D26" s="273" t="s">
        <v>417</v>
      </c>
      <c r="E26" s="337">
        <v>60</v>
      </c>
      <c r="F26" s="252">
        <v>80</v>
      </c>
      <c r="G26" s="332" t="s">
        <v>349</v>
      </c>
      <c r="H26" s="247">
        <v>60</v>
      </c>
      <c r="I26" s="247"/>
      <c r="J26" s="333">
        <v>34.880000000000003</v>
      </c>
      <c r="K26" s="334" t="s">
        <v>351</v>
      </c>
    </row>
    <row r="27" spans="1:11" s="44" customFormat="1" x14ac:dyDescent="0.25">
      <c r="A27" s="116"/>
      <c r="B27" s="152"/>
      <c r="C27" s="152"/>
      <c r="D27" s="152"/>
      <c r="E27" s="125"/>
      <c r="F27" s="125"/>
      <c r="G27" s="153"/>
      <c r="H27" s="121"/>
      <c r="I27" s="121"/>
      <c r="J27" s="154"/>
      <c r="K27" s="155"/>
    </row>
    <row r="28" spans="1:11" s="92" customFormat="1" x14ac:dyDescent="0.25">
      <c r="A28" s="151"/>
      <c r="B28" s="389" t="s">
        <v>40</v>
      </c>
      <c r="C28" s="273" t="s">
        <v>420</v>
      </c>
      <c r="D28" s="273" t="s">
        <v>416</v>
      </c>
      <c r="E28" s="252">
        <v>45</v>
      </c>
      <c r="F28" s="252">
        <v>65</v>
      </c>
      <c r="G28" s="332" t="s">
        <v>349</v>
      </c>
      <c r="H28" s="247">
        <v>40</v>
      </c>
      <c r="I28" s="247"/>
      <c r="J28" s="333">
        <v>39.19</v>
      </c>
      <c r="K28" s="334" t="s">
        <v>421</v>
      </c>
    </row>
    <row r="29" spans="1:11" s="92" customFormat="1" x14ac:dyDescent="0.25">
      <c r="A29" s="151"/>
      <c r="B29" s="273" t="s">
        <v>40</v>
      </c>
      <c r="C29" s="273" t="s">
        <v>419</v>
      </c>
      <c r="D29" s="273" t="s">
        <v>417</v>
      </c>
      <c r="E29" s="337">
        <v>60</v>
      </c>
      <c r="F29" s="252">
        <v>70</v>
      </c>
      <c r="G29" s="332" t="s">
        <v>349</v>
      </c>
      <c r="H29" s="247">
        <v>50</v>
      </c>
      <c r="I29" s="247"/>
      <c r="J29" s="333">
        <v>49.99</v>
      </c>
      <c r="K29" s="334" t="s">
        <v>423</v>
      </c>
    </row>
    <row r="30" spans="1:11" s="92" customFormat="1" x14ac:dyDescent="0.25">
      <c r="A30" s="151">
        <v>10</v>
      </c>
      <c r="B30" s="273" t="s">
        <v>40</v>
      </c>
      <c r="C30" s="273" t="s">
        <v>418</v>
      </c>
      <c r="D30" s="273" t="s">
        <v>417</v>
      </c>
      <c r="E30" s="337">
        <v>80</v>
      </c>
      <c r="F30" s="252">
        <v>90</v>
      </c>
      <c r="G30" s="332" t="s">
        <v>349</v>
      </c>
      <c r="H30" s="247">
        <v>52</v>
      </c>
      <c r="I30" s="247"/>
      <c r="J30" s="333">
        <v>69.989999999999995</v>
      </c>
      <c r="K30" s="334" t="s">
        <v>422</v>
      </c>
    </row>
    <row r="32" spans="1:11" x14ac:dyDescent="0.25">
      <c r="C32" s="273" t="s">
        <v>544</v>
      </c>
    </row>
    <row r="33" spans="3:3" x14ac:dyDescent="0.25">
      <c r="C33" s="128" t="s">
        <v>572</v>
      </c>
    </row>
    <row r="35" spans="3:3" x14ac:dyDescent="0.25">
      <c r="C35" s="273" t="s">
        <v>565</v>
      </c>
    </row>
    <row r="36" spans="3:3" x14ac:dyDescent="0.25">
      <c r="C36" s="218" t="s">
        <v>589</v>
      </c>
    </row>
    <row r="38" spans="3:3" x14ac:dyDescent="0.25">
      <c r="C38" s="347" t="s">
        <v>580</v>
      </c>
    </row>
    <row r="39" spans="3:3" x14ac:dyDescent="0.25">
      <c r="C39" s="345" t="s">
        <v>595</v>
      </c>
    </row>
  </sheetData>
  <sortState ref="B3:J25">
    <sortCondition ref="B3:B25"/>
    <sortCondition ref="C3:C25"/>
  </sortState>
  <phoneticPr fontId="9" type="noConversion"/>
  <hyperlinks>
    <hyperlink ref="K23" r:id="rId1"/>
    <hyperlink ref="K26" r:id="rId2"/>
    <hyperlink ref="K25" r:id="rId3"/>
    <hyperlink ref="K24" r:id="rId4"/>
    <hyperlink ref="K30" r:id="rId5"/>
    <hyperlink ref="K3" r:id="rId6"/>
    <hyperlink ref="K4" r:id="rId7"/>
    <hyperlink ref="K14" r:id="rId8"/>
    <hyperlink ref="K13" r:id="rId9"/>
  </hyperlinks>
  <pageMargins left="0.7" right="0.7" top="0.75" bottom="0.75" header="0.3" footer="0.3"/>
  <pageSetup scale="45" fitToHeight="0" orientation="portrait" horizontalDpi="4294967292" verticalDpi="4294967292" r:id="rId10"/>
  <extLst>
    <ext xmlns:mx="http://schemas.microsoft.com/office/mac/excel/2008/main" uri="{64002731-A6B0-56B0-2670-7721B7C09600}">
      <mx:PLV Mode="1" OnePage="0" WScale="0"/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30"/>
  <sheetViews>
    <sheetView workbookViewId="0">
      <selection activeCell="A18" sqref="A18:XFD18"/>
    </sheetView>
  </sheetViews>
  <sheetFormatPr defaultColWidth="8.875" defaultRowHeight="15.75" x14ac:dyDescent="0.25"/>
  <cols>
    <col min="1" max="1" width="5" bestFit="1" customWidth="1"/>
    <col min="2" max="2" width="12.5" bestFit="1" customWidth="1"/>
    <col min="3" max="3" width="22.625" bestFit="1" customWidth="1"/>
    <col min="4" max="4" width="4.625" style="23" bestFit="1" customWidth="1"/>
    <col min="5" max="5" width="5" style="23" bestFit="1" customWidth="1"/>
    <col min="6" max="6" width="6.375" style="24" bestFit="1" customWidth="1"/>
    <col min="7" max="7" width="4.625" bestFit="1" customWidth="1"/>
    <col min="8" max="8" width="5.375" bestFit="1" customWidth="1"/>
    <col min="9" max="9" width="6" bestFit="1" customWidth="1"/>
    <col min="10" max="11" width="5" bestFit="1" customWidth="1"/>
    <col min="12" max="12" width="5.375" style="26" bestFit="1" customWidth="1"/>
    <col min="13" max="13" width="8.625" bestFit="1" customWidth="1"/>
    <col min="14" max="15" width="8.625" customWidth="1"/>
    <col min="16" max="16" width="26.125" customWidth="1"/>
  </cols>
  <sheetData>
    <row r="1" spans="1:16" x14ac:dyDescent="0.25">
      <c r="A1" t="s">
        <v>373</v>
      </c>
    </row>
    <row r="2" spans="1:16" s="17" customFormat="1" ht="129.75" x14ac:dyDescent="0.25">
      <c r="A2" s="111" t="s">
        <v>27</v>
      </c>
      <c r="B2" s="196" t="s">
        <v>28</v>
      </c>
      <c r="C2" s="196" t="s">
        <v>30</v>
      </c>
      <c r="D2" s="197" t="s">
        <v>31</v>
      </c>
      <c r="E2" s="197" t="s">
        <v>438</v>
      </c>
      <c r="F2" s="198" t="s">
        <v>110</v>
      </c>
      <c r="G2" s="198" t="s">
        <v>111</v>
      </c>
      <c r="H2" s="198" t="s">
        <v>439</v>
      </c>
      <c r="I2" s="198" t="s">
        <v>207</v>
      </c>
      <c r="J2" s="198" t="s">
        <v>168</v>
      </c>
      <c r="K2" s="198" t="s">
        <v>167</v>
      </c>
      <c r="L2" s="198" t="s">
        <v>37</v>
      </c>
      <c r="M2" s="339" t="s">
        <v>39</v>
      </c>
      <c r="N2" s="340" t="s">
        <v>562</v>
      </c>
      <c r="O2" s="338" t="s">
        <v>563</v>
      </c>
      <c r="P2" s="36" t="s">
        <v>14</v>
      </c>
    </row>
    <row r="3" spans="1:16" x14ac:dyDescent="0.25">
      <c r="A3" s="18">
        <v>1</v>
      </c>
      <c r="B3" s="69" t="s">
        <v>447</v>
      </c>
      <c r="C3" s="69" t="s">
        <v>450</v>
      </c>
      <c r="D3" s="201">
        <v>6</v>
      </c>
      <c r="E3" s="201">
        <v>22.2</v>
      </c>
      <c r="F3" s="200">
        <v>10000</v>
      </c>
      <c r="G3" s="194">
        <v>40</v>
      </c>
      <c r="H3" s="194" t="s">
        <v>42</v>
      </c>
      <c r="I3" s="194">
        <v>165</v>
      </c>
      <c r="J3" s="194">
        <v>62</v>
      </c>
      <c r="K3" s="194">
        <v>55</v>
      </c>
      <c r="L3" s="195">
        <v>1368</v>
      </c>
      <c r="M3" s="193">
        <v>279</v>
      </c>
      <c r="N3" s="316">
        <f>M3/F3</f>
        <v>2.7900000000000001E-2</v>
      </c>
      <c r="O3" s="317">
        <f>F3/L3</f>
        <v>7.3099415204678362</v>
      </c>
      <c r="P3" s="61" t="s">
        <v>451</v>
      </c>
    </row>
    <row r="4" spans="1:16" s="92" customFormat="1" x14ac:dyDescent="0.25">
      <c r="A4" s="83"/>
      <c r="B4" s="84" t="s">
        <v>447</v>
      </c>
      <c r="C4" s="84" t="s">
        <v>448</v>
      </c>
      <c r="D4" s="327">
        <v>6</v>
      </c>
      <c r="E4" s="327">
        <v>22.2</v>
      </c>
      <c r="F4" s="328">
        <v>5000</v>
      </c>
      <c r="G4" s="209">
        <v>40</v>
      </c>
      <c r="H4" s="209" t="s">
        <v>42</v>
      </c>
      <c r="I4" s="209">
        <v>145</v>
      </c>
      <c r="J4" s="209">
        <v>50</v>
      </c>
      <c r="K4" s="209">
        <v>50</v>
      </c>
      <c r="L4" s="212">
        <v>790</v>
      </c>
      <c r="M4" s="329">
        <v>189</v>
      </c>
      <c r="N4" s="331">
        <f t="shared" ref="N4:N19" si="0">M4/F4</f>
        <v>3.78E-2</v>
      </c>
      <c r="O4" s="330">
        <f t="shared" ref="O4:O19" si="1">F4/L4</f>
        <v>6.3291139240506329</v>
      </c>
      <c r="P4" s="221" t="s">
        <v>449</v>
      </c>
    </row>
    <row r="5" spans="1:16" x14ac:dyDescent="0.25">
      <c r="A5" s="18">
        <v>2</v>
      </c>
      <c r="B5" s="69" t="s">
        <v>452</v>
      </c>
      <c r="C5" s="69" t="s">
        <v>458</v>
      </c>
      <c r="D5" s="201">
        <v>5</v>
      </c>
      <c r="E5" s="201">
        <v>18.5</v>
      </c>
      <c r="F5" s="200">
        <v>5000</v>
      </c>
      <c r="G5" s="194">
        <v>30</v>
      </c>
      <c r="H5" s="194" t="s">
        <v>42</v>
      </c>
      <c r="I5" s="194">
        <v>164</v>
      </c>
      <c r="J5" s="194">
        <v>43.2</v>
      </c>
      <c r="K5" s="194">
        <v>45.7</v>
      </c>
      <c r="L5" s="195">
        <v>672</v>
      </c>
      <c r="M5" s="193">
        <v>149.99</v>
      </c>
      <c r="N5" s="316">
        <f t="shared" si="0"/>
        <v>2.9998E-2</v>
      </c>
      <c r="O5" s="317">
        <f t="shared" si="1"/>
        <v>7.4404761904761907</v>
      </c>
      <c r="P5" s="37" t="s">
        <v>457</v>
      </c>
    </row>
    <row r="6" spans="1:16" s="92" customFormat="1" x14ac:dyDescent="0.25">
      <c r="A6" s="83"/>
      <c r="B6" s="84" t="s">
        <v>452</v>
      </c>
      <c r="C6" s="84" t="s">
        <v>455</v>
      </c>
      <c r="D6" s="327">
        <v>6</v>
      </c>
      <c r="E6" s="327">
        <v>22.2</v>
      </c>
      <c r="F6" s="328">
        <v>5000</v>
      </c>
      <c r="G6" s="209">
        <v>30</v>
      </c>
      <c r="H6" s="209" t="s">
        <v>42</v>
      </c>
      <c r="I6" s="209">
        <v>164</v>
      </c>
      <c r="J6" s="209">
        <v>54.6</v>
      </c>
      <c r="K6" s="209">
        <v>43.2</v>
      </c>
      <c r="L6" s="212">
        <v>808</v>
      </c>
      <c r="M6" s="329">
        <v>179.99</v>
      </c>
      <c r="N6" s="331">
        <f t="shared" si="0"/>
        <v>3.5998000000000002E-2</v>
      </c>
      <c r="O6" s="330">
        <f t="shared" si="1"/>
        <v>6.1881188118811883</v>
      </c>
      <c r="P6" s="270" t="s">
        <v>456</v>
      </c>
    </row>
    <row r="7" spans="1:16" s="92" customFormat="1" x14ac:dyDescent="0.25">
      <c r="A7" s="83"/>
      <c r="B7" s="84" t="s">
        <v>452</v>
      </c>
      <c r="C7" s="84" t="s">
        <v>453</v>
      </c>
      <c r="D7" s="327">
        <v>6</v>
      </c>
      <c r="E7" s="327">
        <v>22.2</v>
      </c>
      <c r="F7" s="328">
        <v>5000</v>
      </c>
      <c r="G7" s="209">
        <v>50</v>
      </c>
      <c r="H7" s="209" t="s">
        <v>42</v>
      </c>
      <c r="I7" s="209">
        <v>134</v>
      </c>
      <c r="J7" s="209">
        <v>64</v>
      </c>
      <c r="K7" s="209">
        <v>45</v>
      </c>
      <c r="L7" s="212">
        <v>834</v>
      </c>
      <c r="M7" s="329">
        <v>239.99</v>
      </c>
      <c r="N7" s="331">
        <f t="shared" si="0"/>
        <v>4.7997999999999999E-2</v>
      </c>
      <c r="O7" s="330">
        <f t="shared" si="1"/>
        <v>5.9952038369304557</v>
      </c>
      <c r="P7" s="270" t="s">
        <v>454</v>
      </c>
    </row>
    <row r="8" spans="1:16" x14ac:dyDescent="0.25">
      <c r="A8" s="18">
        <v>3</v>
      </c>
      <c r="B8" s="69" t="s">
        <v>436</v>
      </c>
      <c r="C8" s="69" t="s">
        <v>539</v>
      </c>
      <c r="D8" s="201">
        <v>4</v>
      </c>
      <c r="E8" s="201">
        <v>14.8</v>
      </c>
      <c r="F8" s="191">
        <v>5000</v>
      </c>
      <c r="G8" s="191">
        <v>35</v>
      </c>
      <c r="H8" s="191">
        <v>65</v>
      </c>
      <c r="I8" s="192">
        <v>158.80000000000001</v>
      </c>
      <c r="J8" s="192">
        <v>45</v>
      </c>
      <c r="K8" s="192">
        <v>37.6</v>
      </c>
      <c r="L8" s="192">
        <v>545</v>
      </c>
      <c r="M8" s="193">
        <v>120</v>
      </c>
      <c r="N8" s="316">
        <f t="shared" si="0"/>
        <v>2.4E-2</v>
      </c>
      <c r="O8" s="317">
        <f t="shared" si="1"/>
        <v>9.1743119266055047</v>
      </c>
      <c r="P8" s="37" t="s">
        <v>437</v>
      </c>
    </row>
    <row r="9" spans="1:16" x14ac:dyDescent="0.25">
      <c r="A9" s="18">
        <v>4</v>
      </c>
      <c r="B9" s="69" t="s">
        <v>436</v>
      </c>
      <c r="C9" s="69" t="s">
        <v>540</v>
      </c>
      <c r="D9" s="201">
        <v>4</v>
      </c>
      <c r="E9" s="201">
        <v>14.8</v>
      </c>
      <c r="F9" s="194">
        <v>5400</v>
      </c>
      <c r="G9" s="194">
        <v>35</v>
      </c>
      <c r="H9" s="194">
        <v>65</v>
      </c>
      <c r="I9" s="194">
        <v>158.5</v>
      </c>
      <c r="J9" s="194">
        <v>46.8</v>
      </c>
      <c r="K9" s="194">
        <v>40.200000000000003</v>
      </c>
      <c r="L9" s="195">
        <v>594</v>
      </c>
      <c r="M9" s="193">
        <v>127.99</v>
      </c>
      <c r="N9" s="316">
        <f t="shared" si="0"/>
        <v>2.3701851851851852E-2</v>
      </c>
      <c r="O9" s="317">
        <f t="shared" si="1"/>
        <v>9.0909090909090917</v>
      </c>
      <c r="P9" s="61" t="s">
        <v>440</v>
      </c>
    </row>
    <row r="10" spans="1:16" s="92" customFormat="1" x14ac:dyDescent="0.25">
      <c r="A10" s="83"/>
      <c r="B10" s="84" t="s">
        <v>436</v>
      </c>
      <c r="C10" s="84" t="s">
        <v>541</v>
      </c>
      <c r="D10" s="327">
        <v>6</v>
      </c>
      <c r="E10" s="327">
        <v>22.2</v>
      </c>
      <c r="F10" s="209">
        <v>5000</v>
      </c>
      <c r="G10" s="209">
        <v>35</v>
      </c>
      <c r="H10" s="209">
        <v>65</v>
      </c>
      <c r="I10" s="209">
        <v>158.5</v>
      </c>
      <c r="J10" s="209">
        <v>45</v>
      </c>
      <c r="K10" s="209">
        <v>55.8</v>
      </c>
      <c r="L10" s="212">
        <v>849</v>
      </c>
      <c r="M10" s="329">
        <v>163</v>
      </c>
      <c r="N10" s="331">
        <f t="shared" si="0"/>
        <v>3.2599999999999997E-2</v>
      </c>
      <c r="O10" s="330">
        <f t="shared" si="1"/>
        <v>5.8892815076560661</v>
      </c>
      <c r="P10" s="270" t="s">
        <v>441</v>
      </c>
    </row>
    <row r="11" spans="1:16" s="92" customFormat="1" x14ac:dyDescent="0.25">
      <c r="A11" s="83"/>
      <c r="B11" s="84" t="s">
        <v>436</v>
      </c>
      <c r="C11" s="84" t="s">
        <v>542</v>
      </c>
      <c r="D11" s="327">
        <v>6</v>
      </c>
      <c r="E11" s="327">
        <v>22.2</v>
      </c>
      <c r="F11" s="209">
        <v>5400</v>
      </c>
      <c r="G11" s="209">
        <v>35</v>
      </c>
      <c r="H11" s="209">
        <v>65</v>
      </c>
      <c r="I11" s="209">
        <v>158.5</v>
      </c>
      <c r="J11" s="209">
        <v>46.8</v>
      </c>
      <c r="K11" s="209">
        <v>60.5</v>
      </c>
      <c r="L11" s="212">
        <v>920</v>
      </c>
      <c r="M11" s="329">
        <v>189</v>
      </c>
      <c r="N11" s="331">
        <f t="shared" si="0"/>
        <v>3.5000000000000003E-2</v>
      </c>
      <c r="O11" s="330">
        <f t="shared" si="1"/>
        <v>5.8695652173913047</v>
      </c>
      <c r="P11" s="270" t="s">
        <v>442</v>
      </c>
    </row>
    <row r="12" spans="1:16" s="92" customFormat="1" x14ac:dyDescent="0.25">
      <c r="A12" s="83"/>
      <c r="B12" s="84" t="s">
        <v>459</v>
      </c>
      <c r="C12" s="84" t="s">
        <v>460</v>
      </c>
      <c r="D12" s="327">
        <v>6</v>
      </c>
      <c r="E12" s="327">
        <v>22.2</v>
      </c>
      <c r="F12" s="328">
        <v>5000</v>
      </c>
      <c r="G12" s="209">
        <v>70</v>
      </c>
      <c r="H12" s="209">
        <v>140</v>
      </c>
      <c r="I12" s="209">
        <v>156</v>
      </c>
      <c r="J12" s="209">
        <v>46</v>
      </c>
      <c r="K12" s="209">
        <v>49</v>
      </c>
      <c r="L12" s="212">
        <v>796</v>
      </c>
      <c r="M12" s="329">
        <v>246.99</v>
      </c>
      <c r="N12" s="331">
        <f t="shared" si="0"/>
        <v>4.9398000000000004E-2</v>
      </c>
      <c r="O12" s="330">
        <f t="shared" si="1"/>
        <v>6.2814070351758797</v>
      </c>
      <c r="P12" s="270" t="s">
        <v>461</v>
      </c>
    </row>
    <row r="13" spans="1:16" x14ac:dyDescent="0.25">
      <c r="A13" s="18">
        <v>5</v>
      </c>
      <c r="B13" s="69" t="s">
        <v>40</v>
      </c>
      <c r="C13" s="69" t="s">
        <v>533</v>
      </c>
      <c r="D13" s="201">
        <v>4</v>
      </c>
      <c r="E13" s="201">
        <v>14.8</v>
      </c>
      <c r="F13" s="194">
        <v>5000</v>
      </c>
      <c r="G13" s="194">
        <v>65</v>
      </c>
      <c r="H13" s="194">
        <v>130</v>
      </c>
      <c r="I13" s="194">
        <v>156</v>
      </c>
      <c r="J13" s="194">
        <v>46</v>
      </c>
      <c r="K13" s="194">
        <v>35</v>
      </c>
      <c r="L13" s="195">
        <v>537</v>
      </c>
      <c r="M13" s="193">
        <v>90.66</v>
      </c>
      <c r="N13" s="316">
        <f t="shared" si="0"/>
        <v>1.8131999999999999E-2</v>
      </c>
      <c r="O13" s="317">
        <f t="shared" si="1"/>
        <v>9.3109869646182499</v>
      </c>
      <c r="P13" s="37" t="s">
        <v>446</v>
      </c>
    </row>
    <row r="14" spans="1:16" s="92" customFormat="1" x14ac:dyDescent="0.25">
      <c r="A14" s="83"/>
      <c r="B14" s="84" t="s">
        <v>40</v>
      </c>
      <c r="C14" s="84" t="s">
        <v>534</v>
      </c>
      <c r="D14" s="327">
        <v>6</v>
      </c>
      <c r="E14" s="327">
        <v>22.2</v>
      </c>
      <c r="F14" s="209">
        <v>5000</v>
      </c>
      <c r="G14" s="209">
        <v>65</v>
      </c>
      <c r="H14" s="209">
        <v>130</v>
      </c>
      <c r="I14" s="209">
        <v>156</v>
      </c>
      <c r="J14" s="209">
        <v>46</v>
      </c>
      <c r="K14" s="209">
        <v>51</v>
      </c>
      <c r="L14" s="212">
        <v>786</v>
      </c>
      <c r="M14" s="329">
        <v>148.05000000000001</v>
      </c>
      <c r="N14" s="390">
        <f t="shared" si="0"/>
        <v>2.9610000000000001E-2</v>
      </c>
      <c r="O14" s="391">
        <f t="shared" si="1"/>
        <v>6.3613231552162848</v>
      </c>
      <c r="P14" s="221" t="s">
        <v>445</v>
      </c>
    </row>
    <row r="15" spans="1:16" s="92" customFormat="1" x14ac:dyDescent="0.25">
      <c r="A15" s="83"/>
      <c r="B15" s="84" t="s">
        <v>40</v>
      </c>
      <c r="C15" s="84" t="s">
        <v>534</v>
      </c>
      <c r="D15" s="327">
        <v>6</v>
      </c>
      <c r="E15" s="327">
        <v>22.2</v>
      </c>
      <c r="F15" s="209">
        <v>5000</v>
      </c>
      <c r="G15" s="209">
        <v>65</v>
      </c>
      <c r="H15" s="209">
        <v>130</v>
      </c>
      <c r="I15" s="209">
        <v>153</v>
      </c>
      <c r="J15" s="209">
        <v>54</v>
      </c>
      <c r="K15" s="209">
        <v>49</v>
      </c>
      <c r="L15" s="212">
        <v>840</v>
      </c>
      <c r="M15" s="329">
        <v>129.99</v>
      </c>
      <c r="N15" s="390">
        <f t="shared" si="0"/>
        <v>2.5998E-2</v>
      </c>
      <c r="O15" s="391">
        <f t="shared" si="1"/>
        <v>5.9523809523809526</v>
      </c>
      <c r="P15" s="221" t="s">
        <v>445</v>
      </c>
    </row>
    <row r="16" spans="1:16" s="92" customFormat="1" x14ac:dyDescent="0.25">
      <c r="A16" s="83"/>
      <c r="B16" s="84" t="s">
        <v>40</v>
      </c>
      <c r="C16" s="84" t="s">
        <v>535</v>
      </c>
      <c r="D16" s="327">
        <v>6</v>
      </c>
      <c r="E16" s="327">
        <v>22.2</v>
      </c>
      <c r="F16" s="209">
        <v>5000</v>
      </c>
      <c r="G16" s="209">
        <v>65</v>
      </c>
      <c r="H16" s="209">
        <v>130</v>
      </c>
      <c r="I16" s="209">
        <v>156</v>
      </c>
      <c r="J16" s="209">
        <v>51</v>
      </c>
      <c r="K16" s="209">
        <v>46</v>
      </c>
      <c r="L16" s="212">
        <v>786</v>
      </c>
      <c r="M16" s="329">
        <v>148.05000000000001</v>
      </c>
      <c r="N16" s="390">
        <f t="shared" si="0"/>
        <v>2.9610000000000001E-2</v>
      </c>
      <c r="O16" s="391">
        <f t="shared" si="1"/>
        <v>6.3613231552162848</v>
      </c>
      <c r="P16" s="221" t="s">
        <v>445</v>
      </c>
    </row>
    <row r="17" spans="1:16" x14ac:dyDescent="0.25">
      <c r="A17" s="18">
        <v>6</v>
      </c>
      <c r="B17" s="69" t="s">
        <v>40</v>
      </c>
      <c r="C17" s="69" t="s">
        <v>536</v>
      </c>
      <c r="D17" s="201">
        <v>4</v>
      </c>
      <c r="E17" s="201">
        <v>14.8</v>
      </c>
      <c r="F17" s="194">
        <v>5000</v>
      </c>
      <c r="G17" s="194">
        <v>65</v>
      </c>
      <c r="H17" s="194">
        <v>130</v>
      </c>
      <c r="I17" s="194">
        <v>153</v>
      </c>
      <c r="J17" s="194">
        <v>49</v>
      </c>
      <c r="K17" s="194">
        <v>37</v>
      </c>
      <c r="L17" s="195">
        <v>576</v>
      </c>
      <c r="M17" s="193">
        <v>76.59</v>
      </c>
      <c r="N17" s="316">
        <f t="shared" si="0"/>
        <v>1.5318E-2</v>
      </c>
      <c r="O17" s="317">
        <f t="shared" si="1"/>
        <v>8.6805555555555554</v>
      </c>
      <c r="P17" s="61" t="s">
        <v>599</v>
      </c>
    </row>
    <row r="18" spans="1:16" x14ac:dyDescent="0.25">
      <c r="A18" s="18">
        <v>7</v>
      </c>
      <c r="B18" s="69" t="s">
        <v>40</v>
      </c>
      <c r="C18" s="69" t="s">
        <v>537</v>
      </c>
      <c r="D18" s="201">
        <v>5</v>
      </c>
      <c r="E18" s="201">
        <v>18.5</v>
      </c>
      <c r="F18" s="194">
        <v>5000</v>
      </c>
      <c r="G18" s="194">
        <v>65</v>
      </c>
      <c r="H18" s="194">
        <v>130</v>
      </c>
      <c r="I18" s="194">
        <v>154</v>
      </c>
      <c r="J18" s="194">
        <v>46</v>
      </c>
      <c r="K18" s="194">
        <v>49</v>
      </c>
      <c r="L18" s="195">
        <v>712</v>
      </c>
      <c r="M18" s="193">
        <v>88.85</v>
      </c>
      <c r="N18" s="316">
        <f t="shared" si="0"/>
        <v>1.7769999999999998E-2</v>
      </c>
      <c r="O18" s="317">
        <f t="shared" si="1"/>
        <v>7.0224719101123592</v>
      </c>
      <c r="P18" s="61" t="s">
        <v>444</v>
      </c>
    </row>
    <row r="19" spans="1:16" s="92" customFormat="1" x14ac:dyDescent="0.25">
      <c r="A19" s="83">
        <v>7</v>
      </c>
      <c r="B19" s="84" t="s">
        <v>40</v>
      </c>
      <c r="C19" s="84" t="s">
        <v>538</v>
      </c>
      <c r="D19" s="327">
        <v>6</v>
      </c>
      <c r="E19" s="327">
        <v>22.2</v>
      </c>
      <c r="F19" s="209">
        <v>5000</v>
      </c>
      <c r="G19" s="209">
        <v>65</v>
      </c>
      <c r="H19" s="209">
        <v>130</v>
      </c>
      <c r="I19" s="209">
        <v>153</v>
      </c>
      <c r="J19" s="209">
        <v>49</v>
      </c>
      <c r="K19" s="209">
        <v>55</v>
      </c>
      <c r="L19" s="212">
        <v>844</v>
      </c>
      <c r="M19" s="329">
        <v>116.7</v>
      </c>
      <c r="N19" s="390">
        <f t="shared" si="0"/>
        <v>2.334E-2</v>
      </c>
      <c r="O19" s="391">
        <f t="shared" si="1"/>
        <v>5.9241706161137442</v>
      </c>
      <c r="P19" s="270" t="s">
        <v>443</v>
      </c>
    </row>
    <row r="20" spans="1:16" s="44" customFormat="1" x14ac:dyDescent="0.25">
      <c r="A20" s="40"/>
      <c r="B20" s="40"/>
      <c r="C20" s="75" t="s">
        <v>374</v>
      </c>
      <c r="D20" s="215">
        <f>MIN(D3:D19)</f>
        <v>4</v>
      </c>
      <c r="E20" s="215">
        <f t="shared" ref="E20:L20" si="2">MIN(E3:E19)</f>
        <v>14.8</v>
      </c>
      <c r="F20" s="215">
        <f t="shared" si="2"/>
        <v>5000</v>
      </c>
      <c r="G20" s="215">
        <f t="shared" si="2"/>
        <v>30</v>
      </c>
      <c r="H20" s="215">
        <f t="shared" si="2"/>
        <v>65</v>
      </c>
      <c r="I20" s="215">
        <f t="shared" si="2"/>
        <v>134</v>
      </c>
      <c r="J20" s="215">
        <f t="shared" si="2"/>
        <v>43.2</v>
      </c>
      <c r="K20" s="215">
        <f t="shared" si="2"/>
        <v>35</v>
      </c>
      <c r="L20" s="43">
        <f t="shared" si="2"/>
        <v>537</v>
      </c>
      <c r="M20" s="53">
        <f>AVERAGE(M3:M19)</f>
        <v>157.87294117647062</v>
      </c>
      <c r="N20" s="53"/>
      <c r="O20" s="53"/>
      <c r="P20" s="54"/>
    </row>
    <row r="21" spans="1:16" s="44" customFormat="1" x14ac:dyDescent="0.25">
      <c r="B21" s="55"/>
      <c r="C21" s="213" t="s">
        <v>375</v>
      </c>
      <c r="D21" s="216">
        <f>MAX(D3:D19)</f>
        <v>6</v>
      </c>
      <c r="E21" s="216">
        <f t="shared" ref="E21:L21" si="3">MAX(E3:E19)</f>
        <v>22.2</v>
      </c>
      <c r="F21" s="216">
        <f t="shared" si="3"/>
        <v>10000</v>
      </c>
      <c r="G21" s="216">
        <f t="shared" si="3"/>
        <v>70</v>
      </c>
      <c r="H21" s="216">
        <f t="shared" si="3"/>
        <v>140</v>
      </c>
      <c r="I21" s="216">
        <f t="shared" si="3"/>
        <v>165</v>
      </c>
      <c r="J21" s="216">
        <f t="shared" si="3"/>
        <v>64</v>
      </c>
      <c r="K21" s="140">
        <f t="shared" si="3"/>
        <v>60.5</v>
      </c>
      <c r="L21" s="216">
        <f t="shared" si="3"/>
        <v>1368</v>
      </c>
      <c r="M21" s="142">
        <f t="shared" ref="M21" si="4">MAX(M3:M19)</f>
        <v>279</v>
      </c>
      <c r="N21" s="142"/>
      <c r="O21" s="142"/>
      <c r="P21"/>
    </row>
    <row r="22" spans="1:16" x14ac:dyDescent="0.25">
      <c r="C22" s="214" t="s">
        <v>376</v>
      </c>
      <c r="D22" s="70">
        <f>AVERAGE(D3:D19)</f>
        <v>5.4117647058823533</v>
      </c>
      <c r="E22" s="63">
        <f t="shared" ref="E22:L22" si="5">AVERAGE(E3:E19)</f>
        <v>20.023529411764706</v>
      </c>
      <c r="F22" s="70">
        <f t="shared" si="5"/>
        <v>5341.1764705882351</v>
      </c>
      <c r="G22" s="70">
        <f t="shared" si="5"/>
        <v>50.294117647058826</v>
      </c>
      <c r="H22" s="70">
        <f t="shared" si="5"/>
        <v>109.16666666666667</v>
      </c>
      <c r="I22" s="70">
        <f t="shared" si="5"/>
        <v>155.48823529411766</v>
      </c>
      <c r="J22" s="70">
        <f t="shared" si="5"/>
        <v>49.670588235294119</v>
      </c>
      <c r="K22" s="70">
        <f t="shared" si="5"/>
        <v>47.294117647058826</v>
      </c>
      <c r="L22" s="70">
        <f t="shared" si="5"/>
        <v>779.82352941176475</v>
      </c>
      <c r="M22" s="94">
        <f t="shared" ref="M22" si="6">AVERAGE(M3:M19)</f>
        <v>157.87294117647062</v>
      </c>
      <c r="N22" s="94"/>
      <c r="O22" s="94"/>
    </row>
    <row r="23" spans="1:16" x14ac:dyDescent="0.25">
      <c r="C23" s="92" t="s">
        <v>544</v>
      </c>
    </row>
    <row r="24" spans="1:16" x14ac:dyDescent="0.25">
      <c r="C24" t="s">
        <v>572</v>
      </c>
    </row>
    <row r="26" spans="1:16" x14ac:dyDescent="0.25">
      <c r="C26" s="92" t="s">
        <v>565</v>
      </c>
    </row>
    <row r="27" spans="1:16" x14ac:dyDescent="0.25">
      <c r="C27" s="218" t="s">
        <v>573</v>
      </c>
    </row>
    <row r="29" spans="1:16" x14ac:dyDescent="0.25">
      <c r="C29" s="347" t="s">
        <v>580</v>
      </c>
    </row>
    <row r="30" spans="1:16" x14ac:dyDescent="0.25">
      <c r="C30" s="345" t="s">
        <v>596</v>
      </c>
    </row>
  </sheetData>
  <sortState ref="B3:N19">
    <sortCondition ref="B3:B19"/>
    <sortCondition ref="C3:C19"/>
  </sortState>
  <hyperlinks>
    <hyperlink ref="P9" r:id="rId1"/>
    <hyperlink ref="P18" r:id="rId2"/>
    <hyperlink ref="P17" r:id="rId3"/>
    <hyperlink ref="P16" r:id="rId4"/>
    <hyperlink ref="P15" r:id="rId5"/>
    <hyperlink ref="P14" r:id="rId6"/>
  </hyperlinks>
  <pageMargins left="0.7" right="0.7" top="0.75" bottom="0.75" header="0.3" footer="0.3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40"/>
  <sheetViews>
    <sheetView topLeftCell="A4" workbookViewId="0">
      <selection activeCell="M17" sqref="M17"/>
    </sheetView>
  </sheetViews>
  <sheetFormatPr defaultColWidth="8.875" defaultRowHeight="15.75" x14ac:dyDescent="0.25"/>
  <cols>
    <col min="1" max="1" width="5" bestFit="1" customWidth="1"/>
    <col min="2" max="2" width="15.5" bestFit="1" customWidth="1"/>
    <col min="3" max="3" width="14.625" bestFit="1" customWidth="1"/>
    <col min="4" max="4" width="7.625" bestFit="1" customWidth="1"/>
    <col min="5" max="10" width="4.625" bestFit="1" customWidth="1"/>
    <col min="11" max="11" width="7.625" bestFit="1" customWidth="1"/>
    <col min="12" max="12" width="7.625" customWidth="1"/>
    <col min="13" max="13" width="27" customWidth="1"/>
  </cols>
  <sheetData>
    <row r="1" spans="1:15" x14ac:dyDescent="0.25">
      <c r="A1" t="s">
        <v>58</v>
      </c>
    </row>
    <row r="2" spans="1:15" ht="60.75" x14ac:dyDescent="0.25">
      <c r="A2" s="1" t="s">
        <v>27</v>
      </c>
      <c r="B2" s="2" t="s">
        <v>28</v>
      </c>
      <c r="C2" s="2" t="s">
        <v>29</v>
      </c>
      <c r="D2" s="2" t="s">
        <v>30</v>
      </c>
      <c r="E2" s="2" t="s">
        <v>462</v>
      </c>
      <c r="F2" s="14" t="s">
        <v>224</v>
      </c>
      <c r="G2" s="2" t="s">
        <v>225</v>
      </c>
      <c r="H2" s="2" t="s">
        <v>97</v>
      </c>
      <c r="I2" s="2" t="s">
        <v>37</v>
      </c>
      <c r="J2" s="2" t="s">
        <v>465</v>
      </c>
      <c r="K2" s="15" t="s">
        <v>39</v>
      </c>
      <c r="L2" s="16" t="s">
        <v>597</v>
      </c>
      <c r="M2" s="16" t="s">
        <v>14</v>
      </c>
      <c r="N2" s="17"/>
      <c r="O2" s="17"/>
    </row>
    <row r="3" spans="1:15" s="92" customFormat="1" x14ac:dyDescent="0.25">
      <c r="A3" s="83"/>
      <c r="B3" s="341" t="s">
        <v>477</v>
      </c>
      <c r="C3" s="341" t="s">
        <v>478</v>
      </c>
      <c r="D3" s="324" t="s">
        <v>503</v>
      </c>
      <c r="E3" s="342" t="s">
        <v>116</v>
      </c>
      <c r="F3" s="268">
        <v>11</v>
      </c>
      <c r="G3" s="223">
        <v>5</v>
      </c>
      <c r="H3" s="343" t="s">
        <v>98</v>
      </c>
      <c r="I3" s="87">
        <v>0</v>
      </c>
      <c r="J3" s="87">
        <v>1</v>
      </c>
      <c r="K3" s="88">
        <v>12</v>
      </c>
      <c r="L3" s="88">
        <f>K3/J3</f>
        <v>12</v>
      </c>
      <c r="M3" s="270" t="s">
        <v>504</v>
      </c>
    </row>
    <row r="4" spans="1:15" s="92" customFormat="1" x14ac:dyDescent="0.25">
      <c r="A4" s="83"/>
      <c r="B4" s="341" t="s">
        <v>396</v>
      </c>
      <c r="C4" s="341" t="s">
        <v>492</v>
      </c>
      <c r="D4" s="324" t="s">
        <v>493</v>
      </c>
      <c r="E4" s="342" t="s">
        <v>116</v>
      </c>
      <c r="F4" s="268">
        <v>11</v>
      </c>
      <c r="G4" s="223">
        <v>5.5</v>
      </c>
      <c r="H4" s="343" t="s">
        <v>98</v>
      </c>
      <c r="I4" s="87">
        <v>0</v>
      </c>
      <c r="J4" s="87">
        <v>2</v>
      </c>
      <c r="K4" s="88">
        <v>26</v>
      </c>
      <c r="L4" s="88">
        <f t="shared" ref="L4:L30" si="0">K4/J4</f>
        <v>13</v>
      </c>
      <c r="M4" s="270" t="s">
        <v>494</v>
      </c>
    </row>
    <row r="5" spans="1:15" s="92" customFormat="1" x14ac:dyDescent="0.25">
      <c r="A5" s="83"/>
      <c r="B5" s="341" t="s">
        <v>495</v>
      </c>
      <c r="C5" s="341" t="s">
        <v>496</v>
      </c>
      <c r="D5" s="267" t="s">
        <v>497</v>
      </c>
      <c r="E5" s="342" t="s">
        <v>116</v>
      </c>
      <c r="F5" s="268">
        <v>12</v>
      </c>
      <c r="G5" s="223">
        <v>4.5</v>
      </c>
      <c r="H5" s="346" t="s">
        <v>498</v>
      </c>
      <c r="I5" s="87">
        <v>0</v>
      </c>
      <c r="J5" s="87">
        <v>1</v>
      </c>
      <c r="K5" s="88">
        <v>4</v>
      </c>
      <c r="L5" s="88">
        <f t="shared" si="0"/>
        <v>4</v>
      </c>
      <c r="M5" s="221" t="s">
        <v>499</v>
      </c>
    </row>
    <row r="6" spans="1:15" x14ac:dyDescent="0.25">
      <c r="A6" s="18">
        <v>1</v>
      </c>
      <c r="B6" s="199" t="s">
        <v>396</v>
      </c>
      <c r="C6" s="199" t="s">
        <v>500</v>
      </c>
      <c r="D6" s="80" t="s">
        <v>501</v>
      </c>
      <c r="E6" s="6" t="s">
        <v>116</v>
      </c>
      <c r="F6" s="202">
        <v>12</v>
      </c>
      <c r="G6" s="22">
        <v>5.5</v>
      </c>
      <c r="H6" s="19" t="s">
        <v>98</v>
      </c>
      <c r="I6" s="20">
        <v>0</v>
      </c>
      <c r="J6" s="20">
        <v>2</v>
      </c>
      <c r="K6" s="21">
        <v>30</v>
      </c>
      <c r="L6" s="392">
        <f t="shared" si="0"/>
        <v>15</v>
      </c>
      <c r="M6" s="61" t="s">
        <v>502</v>
      </c>
    </row>
    <row r="7" spans="1:15" x14ac:dyDescent="0.25">
      <c r="A7" s="18">
        <v>2</v>
      </c>
      <c r="B7" s="199" t="s">
        <v>523</v>
      </c>
      <c r="C7" s="199" t="s">
        <v>512</v>
      </c>
      <c r="D7" s="80" t="s">
        <v>527</v>
      </c>
      <c r="E7" s="6" t="s">
        <v>116</v>
      </c>
      <c r="F7" s="202">
        <v>12</v>
      </c>
      <c r="G7" s="22">
        <v>3.8</v>
      </c>
      <c r="H7" s="19" t="s">
        <v>98</v>
      </c>
      <c r="I7" s="20">
        <v>15.4</v>
      </c>
      <c r="J7" s="20">
        <v>2</v>
      </c>
      <c r="K7" s="21">
        <v>20</v>
      </c>
      <c r="L7" s="392">
        <f t="shared" si="0"/>
        <v>10</v>
      </c>
      <c r="M7" s="37" t="s">
        <v>528</v>
      </c>
    </row>
    <row r="8" spans="1:15" x14ac:dyDescent="0.25">
      <c r="A8" s="18">
        <v>3</v>
      </c>
      <c r="B8" s="199" t="s">
        <v>141</v>
      </c>
      <c r="C8" s="199" t="s">
        <v>516</v>
      </c>
      <c r="D8" s="80" t="s">
        <v>501</v>
      </c>
      <c r="E8" s="6" t="s">
        <v>116</v>
      </c>
      <c r="F8" s="202">
        <v>12</v>
      </c>
      <c r="G8" s="22">
        <v>5.5</v>
      </c>
      <c r="H8" s="19" t="s">
        <v>98</v>
      </c>
      <c r="I8" s="20">
        <v>11.2</v>
      </c>
      <c r="J8" s="20">
        <v>2</v>
      </c>
      <c r="K8" s="21">
        <v>15</v>
      </c>
      <c r="L8" s="392">
        <f t="shared" si="0"/>
        <v>7.5</v>
      </c>
      <c r="M8" s="37" t="s">
        <v>518</v>
      </c>
    </row>
    <row r="9" spans="1:15" x14ac:dyDescent="0.25">
      <c r="A9" s="18">
        <v>4</v>
      </c>
      <c r="B9" s="199" t="s">
        <v>396</v>
      </c>
      <c r="C9" s="199" t="s">
        <v>491</v>
      </c>
      <c r="D9" s="80" t="s">
        <v>490</v>
      </c>
      <c r="E9" s="6" t="s">
        <v>116</v>
      </c>
      <c r="F9" s="202">
        <v>13</v>
      </c>
      <c r="G9" s="22">
        <v>5.5</v>
      </c>
      <c r="H9" s="19" t="s">
        <v>98</v>
      </c>
      <c r="I9" s="20">
        <v>0</v>
      </c>
      <c r="J9" s="20">
        <v>2</v>
      </c>
      <c r="K9" s="21">
        <v>35</v>
      </c>
      <c r="L9" s="392">
        <f t="shared" si="0"/>
        <v>17.5</v>
      </c>
      <c r="M9" s="37" t="s">
        <v>489</v>
      </c>
    </row>
    <row r="10" spans="1:15" x14ac:dyDescent="0.25">
      <c r="A10" s="18">
        <v>5</v>
      </c>
      <c r="B10" s="199" t="s">
        <v>523</v>
      </c>
      <c r="C10" s="199" t="s">
        <v>512</v>
      </c>
      <c r="D10" s="80" t="s">
        <v>529</v>
      </c>
      <c r="E10" s="6" t="s">
        <v>116</v>
      </c>
      <c r="F10" s="202">
        <v>13</v>
      </c>
      <c r="G10" s="22">
        <v>4</v>
      </c>
      <c r="H10" s="19" t="s">
        <v>98</v>
      </c>
      <c r="I10" s="20">
        <v>0</v>
      </c>
      <c r="J10" s="20">
        <v>2</v>
      </c>
      <c r="K10" s="21">
        <v>20</v>
      </c>
      <c r="L10" s="392">
        <f t="shared" si="0"/>
        <v>10</v>
      </c>
      <c r="M10" s="61" t="s">
        <v>432</v>
      </c>
    </row>
    <row r="11" spans="1:15" x14ac:dyDescent="0.25">
      <c r="A11" s="18">
        <v>6</v>
      </c>
      <c r="B11" s="199" t="s">
        <v>141</v>
      </c>
      <c r="C11" s="199" t="s">
        <v>516</v>
      </c>
      <c r="D11" s="80" t="s">
        <v>490</v>
      </c>
      <c r="E11" s="6" t="s">
        <v>116</v>
      </c>
      <c r="F11" s="202">
        <v>13</v>
      </c>
      <c r="G11" s="22">
        <v>5.5</v>
      </c>
      <c r="H11" s="19" t="s">
        <v>98</v>
      </c>
      <c r="I11" s="20">
        <v>14</v>
      </c>
      <c r="J11" s="20">
        <v>2</v>
      </c>
      <c r="K11" s="21">
        <v>18</v>
      </c>
      <c r="L11" s="392">
        <f t="shared" si="0"/>
        <v>9</v>
      </c>
      <c r="M11" s="37" t="s">
        <v>519</v>
      </c>
    </row>
    <row r="12" spans="1:15" x14ac:dyDescent="0.25">
      <c r="A12" s="18">
        <v>7</v>
      </c>
      <c r="B12" s="199" t="s">
        <v>467</v>
      </c>
      <c r="C12" s="199" t="s">
        <v>481</v>
      </c>
      <c r="D12" s="80" t="s">
        <v>482</v>
      </c>
      <c r="E12" s="6" t="s">
        <v>116</v>
      </c>
      <c r="F12" s="202">
        <v>14</v>
      </c>
      <c r="G12" s="22">
        <v>7</v>
      </c>
      <c r="H12" s="19" t="s">
        <v>98</v>
      </c>
      <c r="I12" s="20">
        <v>0</v>
      </c>
      <c r="J12" s="20">
        <v>2</v>
      </c>
      <c r="K12" s="21">
        <v>36</v>
      </c>
      <c r="L12" s="392">
        <f t="shared" si="0"/>
        <v>18</v>
      </c>
      <c r="M12" s="61" t="s">
        <v>483</v>
      </c>
    </row>
    <row r="13" spans="1:15" x14ac:dyDescent="0.25">
      <c r="A13" s="18">
        <v>8</v>
      </c>
      <c r="B13" s="199" t="s">
        <v>477</v>
      </c>
      <c r="C13" s="199" t="s">
        <v>478</v>
      </c>
      <c r="D13" s="80" t="s">
        <v>479</v>
      </c>
      <c r="E13" s="6" t="s">
        <v>116</v>
      </c>
      <c r="F13" s="202">
        <v>14</v>
      </c>
      <c r="G13" s="22">
        <v>8</v>
      </c>
      <c r="H13" s="19" t="s">
        <v>98</v>
      </c>
      <c r="I13" s="20">
        <v>0</v>
      </c>
      <c r="J13" s="20">
        <v>1</v>
      </c>
      <c r="K13" s="21">
        <v>18</v>
      </c>
      <c r="L13" s="392">
        <f t="shared" si="0"/>
        <v>18</v>
      </c>
      <c r="M13" s="37" t="s">
        <v>480</v>
      </c>
    </row>
    <row r="14" spans="1:15" x14ac:dyDescent="0.25">
      <c r="A14" s="18">
        <v>9</v>
      </c>
      <c r="B14" s="199" t="s">
        <v>396</v>
      </c>
      <c r="C14" s="199" t="s">
        <v>473</v>
      </c>
      <c r="D14" s="80" t="s">
        <v>472</v>
      </c>
      <c r="E14" s="6" t="s">
        <v>116</v>
      </c>
      <c r="F14" s="202">
        <v>14</v>
      </c>
      <c r="G14" s="22">
        <v>5.5</v>
      </c>
      <c r="H14" s="19" t="s">
        <v>98</v>
      </c>
      <c r="I14" s="20">
        <v>0</v>
      </c>
      <c r="J14" s="20">
        <v>2</v>
      </c>
      <c r="K14" s="21">
        <v>40</v>
      </c>
      <c r="L14" s="392">
        <f t="shared" si="0"/>
        <v>20</v>
      </c>
      <c r="M14" s="37" t="s">
        <v>471</v>
      </c>
    </row>
    <row r="15" spans="1:15" s="92" customFormat="1" x14ac:dyDescent="0.25">
      <c r="A15" s="83"/>
      <c r="B15" s="341" t="s">
        <v>68</v>
      </c>
      <c r="C15" s="341" t="s">
        <v>507</v>
      </c>
      <c r="D15" s="267" t="s">
        <v>508</v>
      </c>
      <c r="E15" s="342" t="s">
        <v>94</v>
      </c>
      <c r="F15" s="268">
        <v>15</v>
      </c>
      <c r="G15" s="223">
        <v>5.2</v>
      </c>
      <c r="H15" s="343" t="s">
        <v>42</v>
      </c>
      <c r="I15" s="87">
        <v>13</v>
      </c>
      <c r="J15" s="87">
        <v>2</v>
      </c>
      <c r="K15" s="157">
        <v>69</v>
      </c>
      <c r="L15" s="88">
        <f t="shared" si="0"/>
        <v>34.5</v>
      </c>
      <c r="M15" s="270" t="s">
        <v>509</v>
      </c>
    </row>
    <row r="16" spans="1:15" x14ac:dyDescent="0.25">
      <c r="A16" s="18">
        <v>10</v>
      </c>
      <c r="B16" s="199" t="s">
        <v>68</v>
      </c>
      <c r="C16" s="199" t="s">
        <v>507</v>
      </c>
      <c r="D16" s="80" t="s">
        <v>508</v>
      </c>
      <c r="E16" s="6" t="s">
        <v>94</v>
      </c>
      <c r="F16" s="202">
        <v>15</v>
      </c>
      <c r="G16" s="22">
        <v>5.2</v>
      </c>
      <c r="H16" s="19" t="s">
        <v>578</v>
      </c>
      <c r="I16" s="20">
        <v>13</v>
      </c>
      <c r="J16" s="20">
        <v>2</v>
      </c>
      <c r="K16" s="21">
        <v>45</v>
      </c>
      <c r="L16" s="392">
        <f t="shared" si="0"/>
        <v>22.5</v>
      </c>
      <c r="M16" s="37" t="s">
        <v>510</v>
      </c>
    </row>
    <row r="17" spans="1:13" x14ac:dyDescent="0.25">
      <c r="A17" s="18">
        <v>11</v>
      </c>
      <c r="B17" s="199" t="s">
        <v>467</v>
      </c>
      <c r="C17" s="199" t="s">
        <v>484</v>
      </c>
      <c r="D17" s="80" t="s">
        <v>475</v>
      </c>
      <c r="E17" s="6" t="s">
        <v>116</v>
      </c>
      <c r="F17" s="202">
        <v>15</v>
      </c>
      <c r="G17" s="22">
        <v>5.5</v>
      </c>
      <c r="H17" s="19" t="s">
        <v>98</v>
      </c>
      <c r="I17" s="20">
        <v>16.399999999999999</v>
      </c>
      <c r="J17" s="20">
        <v>2</v>
      </c>
      <c r="K17" s="21">
        <v>40</v>
      </c>
      <c r="L17" s="392">
        <f t="shared" si="0"/>
        <v>20</v>
      </c>
      <c r="M17" s="61" t="s">
        <v>485</v>
      </c>
    </row>
    <row r="18" spans="1:13" x14ac:dyDescent="0.25">
      <c r="A18" s="18">
        <v>12</v>
      </c>
      <c r="B18" s="199" t="s">
        <v>467</v>
      </c>
      <c r="C18" s="199" t="s">
        <v>486</v>
      </c>
      <c r="D18" s="80" t="s">
        <v>487</v>
      </c>
      <c r="E18" s="6" t="s">
        <v>116</v>
      </c>
      <c r="F18" s="202">
        <v>15</v>
      </c>
      <c r="G18" s="22">
        <v>7.5</v>
      </c>
      <c r="H18" s="19" t="s">
        <v>98</v>
      </c>
      <c r="I18" s="20">
        <v>12.5</v>
      </c>
      <c r="J18" s="20">
        <v>2</v>
      </c>
      <c r="K18" s="21">
        <v>40</v>
      </c>
      <c r="L18" s="392">
        <f t="shared" si="0"/>
        <v>20</v>
      </c>
      <c r="M18" s="37" t="s">
        <v>488</v>
      </c>
    </row>
    <row r="19" spans="1:13" x14ac:dyDescent="0.25">
      <c r="A19" s="18">
        <v>13</v>
      </c>
      <c r="B19" s="199" t="s">
        <v>474</v>
      </c>
      <c r="C19" s="199" t="s">
        <v>268</v>
      </c>
      <c r="D19" s="80" t="s">
        <v>475</v>
      </c>
      <c r="E19" s="6" t="s">
        <v>116</v>
      </c>
      <c r="F19" s="202">
        <v>15</v>
      </c>
      <c r="G19" s="22">
        <v>5.5</v>
      </c>
      <c r="H19" s="19" t="s">
        <v>98</v>
      </c>
      <c r="I19" s="20">
        <v>0</v>
      </c>
      <c r="J19" s="20">
        <v>2</v>
      </c>
      <c r="K19" s="21">
        <v>40</v>
      </c>
      <c r="L19" s="392">
        <f t="shared" si="0"/>
        <v>20</v>
      </c>
      <c r="M19" s="37" t="s">
        <v>476</v>
      </c>
    </row>
    <row r="20" spans="1:13" x14ac:dyDescent="0.25">
      <c r="A20" s="18">
        <v>14</v>
      </c>
      <c r="B20" s="199" t="s">
        <v>511</v>
      </c>
      <c r="C20" s="199" t="s">
        <v>512</v>
      </c>
      <c r="D20" s="80" t="s">
        <v>475</v>
      </c>
      <c r="E20" s="6" t="s">
        <v>116</v>
      </c>
      <c r="F20" s="202">
        <v>15</v>
      </c>
      <c r="G20" s="22">
        <v>5.5</v>
      </c>
      <c r="H20" s="19" t="s">
        <v>98</v>
      </c>
      <c r="I20" s="20">
        <v>0</v>
      </c>
      <c r="J20" s="20">
        <v>2</v>
      </c>
      <c r="K20" s="21">
        <v>35</v>
      </c>
      <c r="L20" s="392">
        <f t="shared" si="0"/>
        <v>17.5</v>
      </c>
      <c r="M20" s="37" t="s">
        <v>513</v>
      </c>
    </row>
    <row r="21" spans="1:13" s="92" customFormat="1" x14ac:dyDescent="0.25">
      <c r="A21" s="83"/>
      <c r="B21" s="341" t="s">
        <v>463</v>
      </c>
      <c r="C21" s="341" t="s">
        <v>268</v>
      </c>
      <c r="D21" s="267" t="s">
        <v>464</v>
      </c>
      <c r="E21" s="342" t="s">
        <v>116</v>
      </c>
      <c r="F21" s="268">
        <v>15</v>
      </c>
      <c r="G21" s="91">
        <v>5</v>
      </c>
      <c r="H21" s="91" t="s">
        <v>98</v>
      </c>
      <c r="I21" s="272">
        <v>0</v>
      </c>
      <c r="J21" s="272">
        <v>2</v>
      </c>
      <c r="K21" s="157">
        <v>75</v>
      </c>
      <c r="L21" s="88">
        <f t="shared" si="0"/>
        <v>37.5</v>
      </c>
      <c r="M21" s="221" t="s">
        <v>466</v>
      </c>
    </row>
    <row r="22" spans="1:13" x14ac:dyDescent="0.25">
      <c r="A22" s="18">
        <v>15</v>
      </c>
      <c r="B22" s="199" t="s">
        <v>523</v>
      </c>
      <c r="C22" s="199" t="s">
        <v>512</v>
      </c>
      <c r="D22" s="80" t="s">
        <v>530</v>
      </c>
      <c r="E22" s="6" t="s">
        <v>116</v>
      </c>
      <c r="F22" s="202">
        <v>15</v>
      </c>
      <c r="G22" s="22">
        <v>4</v>
      </c>
      <c r="H22" s="19" t="s">
        <v>98</v>
      </c>
      <c r="I22" s="20">
        <v>17</v>
      </c>
      <c r="J22" s="20">
        <v>2</v>
      </c>
      <c r="K22" s="21">
        <v>29.99</v>
      </c>
      <c r="L22" s="392">
        <f t="shared" si="0"/>
        <v>14.994999999999999</v>
      </c>
      <c r="M22" s="37" t="s">
        <v>531</v>
      </c>
    </row>
    <row r="23" spans="1:13" x14ac:dyDescent="0.25">
      <c r="A23" s="18">
        <v>16</v>
      </c>
      <c r="B23" s="199" t="s">
        <v>523</v>
      </c>
      <c r="C23" s="199" t="s">
        <v>524</v>
      </c>
      <c r="D23" s="80" t="s">
        <v>475</v>
      </c>
      <c r="E23" s="6" t="s">
        <v>116</v>
      </c>
      <c r="F23" s="202">
        <v>15</v>
      </c>
      <c r="G23" s="22">
        <v>5.5</v>
      </c>
      <c r="H23" s="19" t="s">
        <v>98</v>
      </c>
      <c r="I23" s="20">
        <v>0</v>
      </c>
      <c r="J23" s="20">
        <v>2</v>
      </c>
      <c r="K23" s="21">
        <v>35</v>
      </c>
      <c r="L23" s="392">
        <f t="shared" si="0"/>
        <v>17.5</v>
      </c>
      <c r="M23" s="37" t="s">
        <v>525</v>
      </c>
    </row>
    <row r="24" spans="1:13" x14ac:dyDescent="0.25">
      <c r="A24" s="18">
        <v>17</v>
      </c>
      <c r="B24" s="199" t="s">
        <v>141</v>
      </c>
      <c r="C24" s="199" t="s">
        <v>516</v>
      </c>
      <c r="D24" s="80" t="s">
        <v>475</v>
      </c>
      <c r="E24" s="6" t="s">
        <v>116</v>
      </c>
      <c r="F24" s="202">
        <v>15</v>
      </c>
      <c r="G24" s="22">
        <v>5.5</v>
      </c>
      <c r="H24" s="19" t="s">
        <v>98</v>
      </c>
      <c r="I24" s="20">
        <v>18.2</v>
      </c>
      <c r="J24" s="20">
        <v>2</v>
      </c>
      <c r="K24" s="21">
        <v>25</v>
      </c>
      <c r="L24" s="392">
        <f t="shared" si="0"/>
        <v>12.5</v>
      </c>
      <c r="M24" s="37" t="s">
        <v>517</v>
      </c>
    </row>
    <row r="25" spans="1:13" ht="20.25" customHeight="1" x14ac:dyDescent="0.25">
      <c r="A25" s="18">
        <v>18</v>
      </c>
      <c r="B25" s="199" t="s">
        <v>467</v>
      </c>
      <c r="C25" s="199" t="s">
        <v>468</v>
      </c>
      <c r="D25" s="80" t="s">
        <v>469</v>
      </c>
      <c r="E25" s="6" t="s">
        <v>116</v>
      </c>
      <c r="F25" s="202">
        <v>15.5</v>
      </c>
      <c r="G25" s="22">
        <v>5.5</v>
      </c>
      <c r="H25" s="19" t="s">
        <v>98</v>
      </c>
      <c r="I25" s="20">
        <v>20</v>
      </c>
      <c r="J25" s="20">
        <v>2</v>
      </c>
      <c r="K25" s="21">
        <v>40</v>
      </c>
      <c r="L25" s="392">
        <f t="shared" si="0"/>
        <v>20</v>
      </c>
      <c r="M25" s="37" t="s">
        <v>470</v>
      </c>
    </row>
    <row r="26" spans="1:13" x14ac:dyDescent="0.25">
      <c r="A26" s="18">
        <v>19</v>
      </c>
      <c r="B26" s="199" t="s">
        <v>511</v>
      </c>
      <c r="C26" s="199" t="s">
        <v>512</v>
      </c>
      <c r="D26" s="80" t="s">
        <v>514</v>
      </c>
      <c r="E26" s="6" t="s">
        <v>116</v>
      </c>
      <c r="F26" s="202">
        <v>16</v>
      </c>
      <c r="G26" s="22">
        <v>5.5</v>
      </c>
      <c r="H26" s="19" t="s">
        <v>98</v>
      </c>
      <c r="I26" s="20">
        <v>0</v>
      </c>
      <c r="J26" s="20">
        <v>2</v>
      </c>
      <c r="K26" s="21">
        <v>38</v>
      </c>
      <c r="L26" s="392">
        <f t="shared" si="0"/>
        <v>19</v>
      </c>
      <c r="M26" s="37" t="s">
        <v>515</v>
      </c>
    </row>
    <row r="27" spans="1:13" x14ac:dyDescent="0.25">
      <c r="A27" s="18">
        <v>20</v>
      </c>
      <c r="B27" s="199" t="s">
        <v>141</v>
      </c>
      <c r="C27" s="199" t="s">
        <v>516</v>
      </c>
      <c r="D27" s="80" t="s">
        <v>514</v>
      </c>
      <c r="E27" s="6" t="s">
        <v>116</v>
      </c>
      <c r="F27" s="202">
        <v>16</v>
      </c>
      <c r="G27" s="22">
        <v>5.5</v>
      </c>
      <c r="H27" s="19" t="s">
        <v>98</v>
      </c>
      <c r="I27" s="20">
        <v>23</v>
      </c>
      <c r="J27" s="20">
        <v>2</v>
      </c>
      <c r="K27" s="21">
        <v>28</v>
      </c>
      <c r="L27" s="392">
        <f t="shared" si="0"/>
        <v>14</v>
      </c>
      <c r="M27" s="37" t="s">
        <v>520</v>
      </c>
    </row>
    <row r="28" spans="1:13" s="92" customFormat="1" x14ac:dyDescent="0.25">
      <c r="A28" s="83"/>
      <c r="B28" s="341" t="s">
        <v>523</v>
      </c>
      <c r="C28" s="341" t="s">
        <v>524</v>
      </c>
      <c r="D28" s="324" t="s">
        <v>521</v>
      </c>
      <c r="E28" s="342" t="s">
        <v>116</v>
      </c>
      <c r="F28" s="268">
        <v>17</v>
      </c>
      <c r="G28" s="223">
        <v>5.5</v>
      </c>
      <c r="H28" s="343" t="s">
        <v>98</v>
      </c>
      <c r="I28" s="87">
        <v>0</v>
      </c>
      <c r="J28" s="87">
        <v>2</v>
      </c>
      <c r="K28" s="88">
        <v>45</v>
      </c>
      <c r="L28" s="88">
        <f t="shared" si="0"/>
        <v>22.5</v>
      </c>
      <c r="M28" s="270" t="s">
        <v>526</v>
      </c>
    </row>
    <row r="29" spans="1:13" s="92" customFormat="1" x14ac:dyDescent="0.25">
      <c r="A29" s="83"/>
      <c r="B29" s="341" t="s">
        <v>141</v>
      </c>
      <c r="C29" s="341" t="s">
        <v>516</v>
      </c>
      <c r="D29" s="324" t="s">
        <v>521</v>
      </c>
      <c r="E29" s="342" t="s">
        <v>116</v>
      </c>
      <c r="F29" s="268">
        <v>17</v>
      </c>
      <c r="G29" s="223">
        <v>5.5</v>
      </c>
      <c r="H29" s="343" t="s">
        <v>98</v>
      </c>
      <c r="I29" s="87">
        <v>0</v>
      </c>
      <c r="J29" s="87">
        <v>2</v>
      </c>
      <c r="K29" s="88">
        <v>35</v>
      </c>
      <c r="L29" s="88">
        <f t="shared" si="0"/>
        <v>17.5</v>
      </c>
      <c r="M29" s="270" t="s">
        <v>522</v>
      </c>
    </row>
    <row r="30" spans="1:13" s="92" customFormat="1" x14ac:dyDescent="0.25">
      <c r="A30" s="83">
        <v>20</v>
      </c>
      <c r="B30" s="341" t="s">
        <v>467</v>
      </c>
      <c r="C30" s="341" t="s">
        <v>505</v>
      </c>
      <c r="D30" s="324" t="s">
        <v>42</v>
      </c>
      <c r="E30" s="342" t="s">
        <v>94</v>
      </c>
      <c r="F30" s="344" t="s">
        <v>42</v>
      </c>
      <c r="G30" s="223" t="s">
        <v>42</v>
      </c>
      <c r="H30" s="343" t="s">
        <v>98</v>
      </c>
      <c r="I30" s="87">
        <v>0</v>
      </c>
      <c r="J30" s="87">
        <v>1</v>
      </c>
      <c r="K30" s="88">
        <v>20</v>
      </c>
      <c r="L30" s="88">
        <f t="shared" si="0"/>
        <v>20</v>
      </c>
      <c r="M30" s="270" t="s">
        <v>506</v>
      </c>
    </row>
    <row r="31" spans="1:13" x14ac:dyDescent="0.25">
      <c r="F31" s="23"/>
      <c r="G31" s="24"/>
      <c r="I31" s="26"/>
      <c r="J31" s="26"/>
    </row>
    <row r="32" spans="1:13" x14ac:dyDescent="0.25">
      <c r="B32" s="226" t="s">
        <v>544</v>
      </c>
      <c r="F32" s="23"/>
      <c r="G32" s="24"/>
      <c r="I32" s="26"/>
      <c r="J32" s="26"/>
    </row>
    <row r="33" spans="2:10" x14ac:dyDescent="0.25">
      <c r="B33" s="132" t="s">
        <v>572</v>
      </c>
      <c r="F33" s="23"/>
      <c r="G33" s="24"/>
      <c r="I33" s="26"/>
      <c r="J33" s="26"/>
    </row>
    <row r="34" spans="2:10" x14ac:dyDescent="0.25">
      <c r="F34" s="23"/>
      <c r="G34" s="24"/>
      <c r="I34" s="26"/>
      <c r="J34" s="26"/>
    </row>
    <row r="35" spans="2:10" x14ac:dyDescent="0.25">
      <c r="B35" s="226" t="s">
        <v>565</v>
      </c>
    </row>
    <row r="36" spans="2:10" x14ac:dyDescent="0.25">
      <c r="B36" s="345" t="s">
        <v>576</v>
      </c>
    </row>
    <row r="37" spans="2:10" x14ac:dyDescent="0.25">
      <c r="B37" s="218" t="s">
        <v>312</v>
      </c>
    </row>
    <row r="38" spans="2:10" x14ac:dyDescent="0.25">
      <c r="B38" s="220" t="s">
        <v>577</v>
      </c>
    </row>
    <row r="40" spans="2:10" x14ac:dyDescent="0.25">
      <c r="B40" s="347" t="s">
        <v>580</v>
      </c>
    </row>
  </sheetData>
  <sortState ref="B3:L30">
    <sortCondition ref="F3:F30"/>
    <sortCondition ref="B3:B30"/>
    <sortCondition ref="C3:C30"/>
  </sortState>
  <hyperlinks>
    <hyperlink ref="M12" r:id="rId1"/>
    <hyperlink ref="M17" r:id="rId2"/>
    <hyperlink ref="M5" r:id="rId3"/>
    <hyperlink ref="M21" r:id="rId4"/>
    <hyperlink ref="M6" r:id="rId5"/>
    <hyperlink ref="M10" r:id="rId6"/>
  </hyperlinks>
  <pageMargins left="0.7" right="0.7" top="0.75" bottom="0.75" header="0.3" footer="0.3"/>
  <pageSetup orientation="portrait" horizontalDpi="4294967292" verticalDpi="4294967292" r:id="rId7"/>
  <extLst>
    <ext xmlns:mx="http://schemas.microsoft.com/office/mac/excel/2008/main" uri="{64002731-A6B0-56B0-2670-7721B7C09600}">
      <mx:PLV Mode="0" OnePage="0" WScale="0"/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33"/>
  <sheetViews>
    <sheetView workbookViewId="0">
      <selection activeCell="S3" sqref="S3:S4"/>
    </sheetView>
  </sheetViews>
  <sheetFormatPr defaultColWidth="8.875" defaultRowHeight="15.75" x14ac:dyDescent="0.25"/>
  <cols>
    <col min="1" max="1" width="5" bestFit="1" customWidth="1"/>
    <col min="2" max="2" width="17.125" bestFit="1" customWidth="1"/>
    <col min="3" max="3" width="10.5" bestFit="1" customWidth="1"/>
    <col min="4" max="4" width="8.5" bestFit="1" customWidth="1"/>
    <col min="5" max="5" width="5.875" bestFit="1" customWidth="1"/>
    <col min="6" max="6" width="5.125" bestFit="1" customWidth="1"/>
    <col min="7" max="8" width="5.125" customWidth="1"/>
    <col min="9" max="9" width="5" bestFit="1" customWidth="1"/>
    <col min="10" max="10" width="13.375" bestFit="1" customWidth="1"/>
    <col min="11" max="11" width="5" bestFit="1" customWidth="1"/>
    <col min="12" max="12" width="6.5" bestFit="1" customWidth="1"/>
    <col min="13" max="13" width="10" bestFit="1" customWidth="1"/>
    <col min="14" max="14" width="5" customWidth="1"/>
    <col min="15" max="15" width="6.375" bestFit="1" customWidth="1"/>
    <col min="16" max="16" width="9.125" bestFit="1" customWidth="1"/>
    <col min="17" max="17" width="8.625" bestFit="1" customWidth="1"/>
    <col min="18" max="18" width="9" customWidth="1"/>
    <col min="19" max="19" width="13.625" bestFit="1" customWidth="1"/>
  </cols>
  <sheetData>
    <row r="1" spans="1:21" x14ac:dyDescent="0.25">
      <c r="A1" t="s">
        <v>55</v>
      </c>
    </row>
    <row r="2" spans="1:21" ht="165.75" x14ac:dyDescent="0.25">
      <c r="A2" s="1" t="s">
        <v>150</v>
      </c>
      <c r="B2" s="2" t="s">
        <v>28</v>
      </c>
      <c r="C2" s="2" t="s">
        <v>29</v>
      </c>
      <c r="D2" s="2" t="s">
        <v>30</v>
      </c>
      <c r="E2" s="14" t="s">
        <v>151</v>
      </c>
      <c r="F2" s="2" t="s">
        <v>152</v>
      </c>
      <c r="G2" s="2" t="s">
        <v>167</v>
      </c>
      <c r="H2" s="2" t="s">
        <v>168</v>
      </c>
      <c r="I2" s="2" t="s">
        <v>169</v>
      </c>
      <c r="J2" s="2" t="s">
        <v>165</v>
      </c>
      <c r="K2" s="2" t="s">
        <v>37</v>
      </c>
      <c r="L2" s="2" t="s">
        <v>156</v>
      </c>
      <c r="M2" s="2" t="s">
        <v>161</v>
      </c>
      <c r="N2" s="2" t="s">
        <v>157</v>
      </c>
      <c r="O2" s="2" t="s">
        <v>153</v>
      </c>
      <c r="P2" s="2" t="s">
        <v>183</v>
      </c>
      <c r="Q2" s="15" t="s">
        <v>155</v>
      </c>
      <c r="R2" s="16" t="s">
        <v>186</v>
      </c>
      <c r="S2" s="16" t="s">
        <v>14</v>
      </c>
      <c r="T2" s="17"/>
      <c r="U2" s="17"/>
    </row>
    <row r="3" spans="1:21" s="219" customFormat="1" x14ac:dyDescent="0.25">
      <c r="A3" s="260">
        <v>1</v>
      </c>
      <c r="B3" s="349" t="s">
        <v>158</v>
      </c>
      <c r="C3" s="349" t="s">
        <v>159</v>
      </c>
      <c r="D3" s="350" t="s">
        <v>160</v>
      </c>
      <c r="E3" s="351" t="s">
        <v>166</v>
      </c>
      <c r="F3" s="352" t="s">
        <v>94</v>
      </c>
      <c r="G3" s="352">
        <v>68.3</v>
      </c>
      <c r="H3" s="352">
        <v>51.3</v>
      </c>
      <c r="I3" s="352">
        <v>21.4</v>
      </c>
      <c r="J3" s="353" t="s">
        <v>179</v>
      </c>
      <c r="K3" s="353">
        <v>88</v>
      </c>
      <c r="L3" s="353" t="s">
        <v>162</v>
      </c>
      <c r="M3" s="353" t="s">
        <v>163</v>
      </c>
      <c r="N3" s="353" t="s">
        <v>94</v>
      </c>
      <c r="O3" s="354">
        <v>99.99</v>
      </c>
      <c r="P3" s="354" t="s">
        <v>184</v>
      </c>
      <c r="Q3" s="355">
        <v>99.85</v>
      </c>
      <c r="R3" s="355">
        <f>O3+Q3</f>
        <v>199.83999999999997</v>
      </c>
      <c r="S3" s="356" t="s">
        <v>164</v>
      </c>
    </row>
    <row r="4" spans="1:21" s="92" customFormat="1" x14ac:dyDescent="0.25">
      <c r="A4" s="83">
        <v>2</v>
      </c>
      <c r="B4" s="343" t="s">
        <v>180</v>
      </c>
      <c r="C4" s="343" t="s">
        <v>159</v>
      </c>
      <c r="D4" s="342" t="s">
        <v>181</v>
      </c>
      <c r="E4" s="85"/>
      <c r="F4" s="223"/>
      <c r="G4" s="223">
        <v>55</v>
      </c>
      <c r="H4" s="223">
        <v>50</v>
      </c>
      <c r="I4" s="343">
        <v>25</v>
      </c>
      <c r="J4" s="343"/>
      <c r="K4" s="87">
        <v>80</v>
      </c>
      <c r="L4" s="87"/>
      <c r="M4" s="87" t="s">
        <v>182</v>
      </c>
      <c r="N4" s="87"/>
      <c r="O4" s="348">
        <v>29.95</v>
      </c>
      <c r="P4" s="348" t="s">
        <v>185</v>
      </c>
      <c r="Q4" s="88">
        <v>99.95</v>
      </c>
      <c r="R4" s="88">
        <f>O4*12+Q4</f>
        <v>459.34999999999997</v>
      </c>
      <c r="S4" s="270"/>
    </row>
    <row r="5" spans="1:21" x14ac:dyDescent="0.25">
      <c r="A5" s="40"/>
      <c r="B5" s="40"/>
      <c r="C5" s="40"/>
      <c r="D5" s="51"/>
      <c r="E5" s="41"/>
      <c r="F5" s="48"/>
      <c r="G5" s="48"/>
      <c r="H5" s="48"/>
      <c r="I5" s="40"/>
      <c r="J5" s="40"/>
      <c r="K5" s="52"/>
      <c r="L5" s="52"/>
      <c r="M5" s="52"/>
      <c r="N5" s="52"/>
      <c r="O5" s="52"/>
      <c r="P5" s="52"/>
      <c r="Q5" s="53"/>
      <c r="R5" s="53"/>
      <c r="S5" s="217">
        <f ca="1">NOW()</f>
        <v>41741.59949479167</v>
      </c>
      <c r="T5" s="44"/>
      <c r="U5" s="44"/>
    </row>
    <row r="6" spans="1:21" x14ac:dyDescent="0.25">
      <c r="A6" s="44"/>
      <c r="B6" s="347" t="s">
        <v>544</v>
      </c>
      <c r="C6" s="55"/>
      <c r="D6" s="56"/>
      <c r="E6" s="57"/>
      <c r="F6" s="58"/>
      <c r="G6" s="58"/>
      <c r="H6" s="58"/>
      <c r="I6" s="56"/>
      <c r="J6" s="56"/>
      <c r="K6" s="26"/>
      <c r="L6" s="26"/>
      <c r="M6" s="26"/>
      <c r="N6" s="26"/>
      <c r="O6" s="26"/>
      <c r="P6" s="26"/>
      <c r="T6" s="44"/>
      <c r="U6" s="44"/>
    </row>
    <row r="7" spans="1:21" x14ac:dyDescent="0.25">
      <c r="B7" s="219" t="s">
        <v>581</v>
      </c>
      <c r="E7" s="23"/>
      <c r="F7" s="24"/>
      <c r="G7" s="24"/>
      <c r="H7" s="24"/>
      <c r="K7" s="26"/>
      <c r="L7" s="26"/>
      <c r="M7" s="26"/>
      <c r="N7" s="26"/>
      <c r="O7" s="26"/>
      <c r="P7" s="26"/>
    </row>
    <row r="8" spans="1:21" x14ac:dyDescent="0.25">
      <c r="E8" s="23"/>
      <c r="F8" s="24"/>
      <c r="G8" s="24"/>
      <c r="H8" s="24"/>
      <c r="K8" s="26"/>
      <c r="L8" s="26"/>
      <c r="M8" s="26"/>
      <c r="N8" s="26"/>
      <c r="O8" s="26"/>
      <c r="P8" s="26"/>
    </row>
    <row r="9" spans="1:21" x14ac:dyDescent="0.25">
      <c r="E9" s="23"/>
      <c r="F9" s="24"/>
      <c r="G9" s="24"/>
      <c r="H9" s="24"/>
      <c r="K9" s="26"/>
      <c r="L9" s="26"/>
      <c r="M9" s="26"/>
      <c r="N9" s="26"/>
      <c r="O9" s="26"/>
      <c r="P9" s="26"/>
    </row>
    <row r="10" spans="1:21" x14ac:dyDescent="0.25">
      <c r="E10" s="23"/>
      <c r="F10" s="24"/>
      <c r="G10" s="24"/>
      <c r="H10" s="24"/>
      <c r="K10" s="26"/>
      <c r="L10" s="26"/>
      <c r="M10" s="26"/>
      <c r="N10" s="26"/>
      <c r="O10" s="26"/>
      <c r="P10" s="26"/>
    </row>
    <row r="33" spans="4:4" x14ac:dyDescent="0.25">
      <c r="D33" t="e">
        <f>'11. Accessories'!A6d</f>
        <v>#NAME?</v>
      </c>
    </row>
  </sheetData>
  <hyperlinks>
    <hyperlink ref="S3" r:id="rId1"/>
  </hyperlinks>
  <pageMargins left="0.7" right="0.7" top="0.75" bottom="0.75" header="0.3" footer="0.3"/>
  <extLst>
    <ext xmlns:mx="http://schemas.microsoft.com/office/mac/excel/2008/main" uri="{64002731-A6B0-56B0-2670-7721B7C09600}">
      <mx:PLV Mode="0" OnePage="0" WScale="0"/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V6"/>
  <sheetViews>
    <sheetView workbookViewId="0">
      <selection activeCell="B13" sqref="B13"/>
    </sheetView>
  </sheetViews>
  <sheetFormatPr defaultColWidth="8.875" defaultRowHeight="15.75" x14ac:dyDescent="0.25"/>
  <cols>
    <col min="1" max="1" width="4.625" bestFit="1" customWidth="1"/>
    <col min="2" max="2" width="9.5" bestFit="1" customWidth="1"/>
    <col min="3" max="3" width="4.625" bestFit="1" customWidth="1"/>
    <col min="4" max="4" width="4.625" customWidth="1"/>
    <col min="5" max="5" width="4.875" bestFit="1" customWidth="1"/>
    <col min="6" max="6" width="4.625" bestFit="1" customWidth="1"/>
    <col min="7" max="7" width="4.875" bestFit="1" customWidth="1"/>
    <col min="8" max="10" width="4.625" bestFit="1" customWidth="1"/>
    <col min="11" max="11" width="13.375" bestFit="1" customWidth="1"/>
    <col min="12" max="12" width="4.625" customWidth="1"/>
    <col min="13" max="16" width="4.625" bestFit="1" customWidth="1"/>
    <col min="17" max="17" width="13.125" customWidth="1"/>
    <col min="18" max="18" width="15" customWidth="1"/>
    <col min="19" max="19" width="16.625" bestFit="1" customWidth="1"/>
    <col min="20" max="20" width="9.5" bestFit="1" customWidth="1"/>
    <col min="21" max="21" width="14.375" bestFit="1" customWidth="1"/>
    <col min="22" max="22" width="14.5" bestFit="1" customWidth="1"/>
  </cols>
  <sheetData>
    <row r="1" spans="1:22" ht="126" x14ac:dyDescent="0.2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4" t="s">
        <v>63</v>
      </c>
      <c r="L1" s="4" t="s">
        <v>64</v>
      </c>
      <c r="M1" s="4" t="s">
        <v>10</v>
      </c>
      <c r="N1" s="4" t="s">
        <v>11</v>
      </c>
      <c r="O1" s="4" t="s">
        <v>12</v>
      </c>
      <c r="P1" s="4" t="s">
        <v>13</v>
      </c>
      <c r="S1" s="5" t="s">
        <v>23</v>
      </c>
      <c r="T1" s="5" t="s">
        <v>24</v>
      </c>
      <c r="U1" s="5" t="s">
        <v>25</v>
      </c>
      <c r="V1" s="5" t="s">
        <v>26</v>
      </c>
    </row>
    <row r="2" spans="1:22" x14ac:dyDescent="0.25">
      <c r="A2" s="5">
        <v>2</v>
      </c>
      <c r="B2" s="6" t="s">
        <v>15</v>
      </c>
      <c r="C2" s="30">
        <v>15.9</v>
      </c>
      <c r="D2" s="7">
        <v>4</v>
      </c>
      <c r="E2" s="11" t="s">
        <v>16</v>
      </c>
      <c r="F2" s="8">
        <v>2</v>
      </c>
      <c r="G2" s="9">
        <v>855</v>
      </c>
      <c r="H2" s="9">
        <v>1</v>
      </c>
      <c r="I2" s="29">
        <v>53</v>
      </c>
      <c r="J2" s="29">
        <v>1</v>
      </c>
      <c r="K2" s="31" t="s">
        <v>65</v>
      </c>
      <c r="L2" s="31">
        <v>3</v>
      </c>
      <c r="M2" s="10">
        <f>D2+F2+H2+J2+L2</f>
        <v>11</v>
      </c>
      <c r="N2" s="10">
        <f>D2*5+F2*3+H2*4+J2+L2*2</f>
        <v>37</v>
      </c>
      <c r="O2" s="10">
        <f>D2*3+F2*2+H2*2.5+J2+L2</f>
        <v>22.5</v>
      </c>
      <c r="P2" s="33" t="s">
        <v>14</v>
      </c>
      <c r="S2" s="5">
        <v>4</v>
      </c>
      <c r="T2" s="6" t="s">
        <v>15</v>
      </c>
      <c r="U2" s="6" t="s">
        <v>21</v>
      </c>
      <c r="V2" s="6" t="s">
        <v>15</v>
      </c>
    </row>
    <row r="3" spans="1:22" x14ac:dyDescent="0.25">
      <c r="A3" s="5">
        <v>1</v>
      </c>
      <c r="B3" s="6" t="s">
        <v>21</v>
      </c>
      <c r="C3" s="30">
        <v>13.2</v>
      </c>
      <c r="D3" s="7">
        <v>1</v>
      </c>
      <c r="E3" s="11" t="s">
        <v>22</v>
      </c>
      <c r="F3" s="12">
        <v>3</v>
      </c>
      <c r="G3" s="13">
        <v>2165</v>
      </c>
      <c r="H3" s="13">
        <v>4</v>
      </c>
      <c r="I3" s="28">
        <v>31</v>
      </c>
      <c r="J3" s="28">
        <v>4</v>
      </c>
      <c r="K3" s="31" t="s">
        <v>67</v>
      </c>
      <c r="L3" s="32">
        <v>1</v>
      </c>
      <c r="M3" s="10">
        <f>D3+F3+H3+J3+L3</f>
        <v>13</v>
      </c>
      <c r="N3" s="10">
        <f>D3*5+F3*3+H3*4+J3+L3*2</f>
        <v>36</v>
      </c>
      <c r="O3" s="10">
        <f>D3*3+F3*2+H3*2.5+J3+L3</f>
        <v>24</v>
      </c>
      <c r="P3" s="33" t="s">
        <v>14</v>
      </c>
      <c r="S3" s="5">
        <v>3</v>
      </c>
      <c r="T3" s="6" t="s">
        <v>21</v>
      </c>
      <c r="U3" s="6" t="s">
        <v>15</v>
      </c>
      <c r="V3" s="6" t="s">
        <v>21</v>
      </c>
    </row>
    <row r="4" spans="1:22" x14ac:dyDescent="0.25">
      <c r="A4" s="5">
        <v>3</v>
      </c>
      <c r="B4" s="6" t="s">
        <v>19</v>
      </c>
      <c r="C4" s="30">
        <v>13.4</v>
      </c>
      <c r="D4" s="7">
        <v>2</v>
      </c>
      <c r="E4" s="11" t="s">
        <v>20</v>
      </c>
      <c r="F4" s="8">
        <v>4</v>
      </c>
      <c r="G4" s="9">
        <v>880</v>
      </c>
      <c r="H4" s="9">
        <v>2</v>
      </c>
      <c r="I4" s="29">
        <v>51</v>
      </c>
      <c r="J4" s="29">
        <v>2</v>
      </c>
      <c r="K4" s="31" t="s">
        <v>65</v>
      </c>
      <c r="L4" s="31">
        <v>3</v>
      </c>
      <c r="M4" s="10">
        <f>D4+F4+H4+J4+L4</f>
        <v>13</v>
      </c>
      <c r="N4" s="10">
        <f>D4*5+F4*3+H4*4+J4+L4*2</f>
        <v>38</v>
      </c>
      <c r="O4" s="10">
        <f>D4*3+F4*2+H4*2.5+J4+L4</f>
        <v>24</v>
      </c>
      <c r="P4" s="33" t="s">
        <v>14</v>
      </c>
      <c r="S4" s="5">
        <v>2</v>
      </c>
      <c r="T4" s="6" t="s">
        <v>19</v>
      </c>
      <c r="U4" s="6" t="s">
        <v>19</v>
      </c>
      <c r="V4" s="6" t="s">
        <v>19</v>
      </c>
    </row>
    <row r="5" spans="1:22" x14ac:dyDescent="0.25">
      <c r="A5" s="5">
        <v>4</v>
      </c>
      <c r="B5" s="6" t="s">
        <v>17</v>
      </c>
      <c r="C5" s="30">
        <v>15.4</v>
      </c>
      <c r="D5" s="7">
        <v>3</v>
      </c>
      <c r="E5" s="11" t="s">
        <v>18</v>
      </c>
      <c r="F5" s="8">
        <v>1</v>
      </c>
      <c r="G5" s="9">
        <v>1791</v>
      </c>
      <c r="H5" s="9">
        <v>3</v>
      </c>
      <c r="I5" s="29">
        <v>37</v>
      </c>
      <c r="J5" s="29">
        <v>3</v>
      </c>
      <c r="K5" s="31" t="s">
        <v>66</v>
      </c>
      <c r="L5" s="31">
        <v>4</v>
      </c>
      <c r="M5" s="10">
        <f>D5+F5+H5+J5+L5</f>
        <v>14</v>
      </c>
      <c r="N5" s="10">
        <f>D5*5+F5*3+H5*4+J5+L5*2</f>
        <v>41</v>
      </c>
      <c r="O5" s="10">
        <f>D5*3+F5*2+H5*2.5+J5+L5</f>
        <v>25.5</v>
      </c>
      <c r="P5" s="33" t="s">
        <v>14</v>
      </c>
      <c r="S5" s="5">
        <v>1</v>
      </c>
      <c r="T5" s="6" t="s">
        <v>17</v>
      </c>
      <c r="U5" s="6" t="s">
        <v>17</v>
      </c>
      <c r="V5" s="6" t="s">
        <v>17</v>
      </c>
    </row>
    <row r="6" spans="1:22" x14ac:dyDescent="0.25">
      <c r="M6" s="388">
        <f ca="1">NOW()</f>
        <v>41741.59949479167</v>
      </c>
      <c r="N6" s="388"/>
      <c r="O6" s="388"/>
      <c r="P6" s="388"/>
      <c r="V6" s="34">
        <f ca="1">NOW()</f>
        <v>41741.59949479167</v>
      </c>
    </row>
  </sheetData>
  <sortState ref="A2:P5">
    <sortCondition ref="O1"/>
  </sortState>
  <mergeCells count="1">
    <mergeCell ref="M6:P6"/>
  </mergeCells>
  <hyperlinks>
    <hyperlink ref="P3" r:id="rId1" display="http://www.ecalc.ch/xcoptercalc.htm?ecalc&amp;lang=en&amp;cooling=2.5&amp;rotornumber=4&amp;weight=1756&amp;calc=auw&amp;elevation=500&amp;airtemp=25&amp;qnh=1013&amp;batteries=lipo_5000mah_-_45/60c&amp;chargestate=0&amp;s=3&amp;p=1&amp;esc=max_40a&amp;motor=turnigy&amp;gear=1&amp;propeller=apc_slowfly_sf&amp;diameter=12&amp;"/>
    <hyperlink ref="P2" r:id="rId2"/>
    <hyperlink ref="P4" r:id="rId3"/>
    <hyperlink ref="P5" r:id="rId4"/>
  </hyperlinks>
  <pageMargins left="0.7" right="0.7" top="0.75" bottom="0.75" header="0.3" footer="0.3"/>
  <pageSetup scale="49" fitToHeight="0" orientation="portrait" horizontalDpi="0" verticalDpi="0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14</vt:i4>
      </vt:variant>
      <vt:variant>
        <vt:lpstr>Named Ranges</vt:lpstr>
      </vt:variant>
      <vt:variant>
        <vt:i4>60</vt:i4>
      </vt:variant>
    </vt:vector>
  </HeadingPairs>
  <TitlesOfParts>
    <vt:vector size="74" baseType="lpstr">
      <vt:lpstr>BOM Summary</vt:lpstr>
      <vt:lpstr>Budget</vt:lpstr>
      <vt:lpstr>1. Multirotor Frames</vt:lpstr>
      <vt:lpstr>2. Flight Controllers</vt:lpstr>
      <vt:lpstr>3. Transmitters</vt:lpstr>
      <vt:lpstr>4. Receivers</vt:lpstr>
      <vt:lpstr>5. Cameras</vt:lpstr>
      <vt:lpstr>6. Gimbals</vt:lpstr>
      <vt:lpstr>7. Motors</vt:lpstr>
      <vt:lpstr>8. ESCs</vt:lpstr>
      <vt:lpstr>9. Batteries</vt:lpstr>
      <vt:lpstr>10. Propellers</vt:lpstr>
      <vt:lpstr>11. Accessories</vt:lpstr>
      <vt:lpstr>Scorecard</vt:lpstr>
      <vt:lpstr>Acc_Brand</vt:lpstr>
      <vt:lpstr>Acc_Link</vt:lpstr>
      <vt:lpstr>Acc_Mass</vt:lpstr>
      <vt:lpstr>Acc_Model</vt:lpstr>
      <vt:lpstr>Acc_Price</vt:lpstr>
      <vt:lpstr>Bat_Brand</vt:lpstr>
      <vt:lpstr>Bat_Link</vt:lpstr>
      <vt:lpstr>Bat_Mass</vt:lpstr>
      <vt:lpstr>Bat_Model</vt:lpstr>
      <vt:lpstr>Bat_Price</vt:lpstr>
      <vt:lpstr>Cam_Link</vt:lpstr>
      <vt:lpstr>Camera_Brand</vt:lpstr>
      <vt:lpstr>Camera_Model</vt:lpstr>
      <vt:lpstr>Camera_Price</vt:lpstr>
      <vt:lpstr>ESC_Brand</vt:lpstr>
      <vt:lpstr>ESC_Link</vt:lpstr>
      <vt:lpstr>ESC_Mass</vt:lpstr>
      <vt:lpstr>ESC_Model</vt:lpstr>
      <vt:lpstr>ESC_Model2</vt:lpstr>
      <vt:lpstr>ESC_Model3</vt:lpstr>
      <vt:lpstr>ESC_Price</vt:lpstr>
      <vt:lpstr>FC_Brand</vt:lpstr>
      <vt:lpstr>FC_Link</vt:lpstr>
      <vt:lpstr>FC_Mass</vt:lpstr>
      <vt:lpstr>FC_Model</vt:lpstr>
      <vt:lpstr>FC_Price</vt:lpstr>
      <vt:lpstr>Frame_Brand</vt:lpstr>
      <vt:lpstr>Frame_Line</vt:lpstr>
      <vt:lpstr>Frame_Link</vt:lpstr>
      <vt:lpstr>Frame_Mass</vt:lpstr>
      <vt:lpstr>Frame_Model</vt:lpstr>
      <vt:lpstr>Frame_Price</vt:lpstr>
      <vt:lpstr>Framemass</vt:lpstr>
      <vt:lpstr>Gimbal_Brand</vt:lpstr>
      <vt:lpstr>Gimbal_Brand2</vt:lpstr>
      <vt:lpstr>Gimbal_Link</vt:lpstr>
      <vt:lpstr>Gimbal_Mass</vt:lpstr>
      <vt:lpstr>Gimbal_Model</vt:lpstr>
      <vt:lpstr>Gimbal_Price</vt:lpstr>
      <vt:lpstr>Motor_Brand</vt:lpstr>
      <vt:lpstr>Motor_Link</vt:lpstr>
      <vt:lpstr>Motor_Mass</vt:lpstr>
      <vt:lpstr>Motor_Model</vt:lpstr>
      <vt:lpstr>Motor_Price</vt:lpstr>
      <vt:lpstr>Number_of_Motors</vt:lpstr>
      <vt:lpstr>Prop_Brand</vt:lpstr>
      <vt:lpstr>Prop_Link</vt:lpstr>
      <vt:lpstr>Prop_Mass</vt:lpstr>
      <vt:lpstr>Prop_Model</vt:lpstr>
      <vt:lpstr>Prop_Price</vt:lpstr>
      <vt:lpstr>RC_Brand</vt:lpstr>
      <vt:lpstr>RC_Link</vt:lpstr>
      <vt:lpstr>RC_Mass</vt:lpstr>
      <vt:lpstr>RC_Model</vt:lpstr>
      <vt:lpstr>RC_Model2</vt:lpstr>
      <vt:lpstr>RC_Price</vt:lpstr>
      <vt:lpstr>Tx_Brand</vt:lpstr>
      <vt:lpstr>Tx_Link</vt:lpstr>
      <vt:lpstr>Tx_Model</vt:lpstr>
      <vt:lpstr>Tx_Price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Tony</dc:creator>
  <cp:lastModifiedBy>Tony</cp:lastModifiedBy>
  <cp:lastPrinted>2014-04-08T15:35:46Z</cp:lastPrinted>
  <dcterms:created xsi:type="dcterms:W3CDTF">2013-08-04T21:53:47Z</dcterms:created>
  <dcterms:modified xsi:type="dcterms:W3CDTF">2014-04-12T19:23:18Z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Brand" linkTarget="Prop_Brand">
    <vt:lpwstr>Graupner</vt:lpwstr>
  </property>
  <property fmtid="{D5CDD505-2E9C-101B-9397-08002B2CF9AE}" pid="3" name="Mass" linkTarget="Prop_Mass">
    <vt:r8>0</vt:r8>
  </property>
  <property fmtid="{D5CDD505-2E9C-101B-9397-08002B2CF9AE}" pid="4" name="Model" linkTarget="Prop_Model">
    <vt:lpwstr>11x5</vt:lpwstr>
  </property>
  <property fmtid="{D5CDD505-2E9C-101B-9397-08002B2CF9AE}" pid="5" name="Price" linkTarget="Prop_Price">
    <vt:r8>12</vt:r8>
  </property>
  <property fmtid="{D5CDD505-2E9C-101B-9397-08002B2CF9AE}" pid="6" name="Link" linkTarget="Prop_Link">
    <vt:lpwstr>http://www.rc-drones.com/Graupner-Eprop-11right.php</vt:lpwstr>
  </property>
</Properties>
</file>