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6380" windowHeight="8190" tabRatio="222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H32" i="1" l="1"/>
  <c r="H31" i="1"/>
  <c r="H30" i="1"/>
  <c r="H29" i="1"/>
  <c r="H28" i="1"/>
  <c r="H11" i="1"/>
  <c r="H10" i="1"/>
  <c r="H8" i="1"/>
  <c r="H7" i="1"/>
  <c r="H6" i="1"/>
  <c r="H35" i="1" s="1"/>
</calcChain>
</file>

<file path=xl/sharedStrings.xml><?xml version="1.0" encoding="utf-8"?>
<sst xmlns="http://schemas.openxmlformats.org/spreadsheetml/2006/main" count="125" uniqueCount="116">
  <si>
    <t>Parts List</t>
  </si>
  <si>
    <t>ITEM</t>
  </si>
  <si>
    <t>PART DESCRIPITION</t>
  </si>
  <si>
    <t>REF. DES.</t>
  </si>
  <si>
    <t>PART NUMBER</t>
  </si>
  <si>
    <t>QUANTITY</t>
  </si>
  <si>
    <t>UNIT COST</t>
  </si>
  <si>
    <t>EXTENDED COST</t>
  </si>
  <si>
    <t>WEB ADDRESS</t>
  </si>
  <si>
    <t>HK Pilot Mega V2.5</t>
  </si>
  <si>
    <t>APM 2.5</t>
  </si>
  <si>
    <t>http://hobbyking.com/hobbyking/store/__37328__HKPilot_Mega_V2_5_Flight_Controller_USB_GYRO_ACC_MAG_BARO.html?strSearch=hk%20pilot</t>
  </si>
  <si>
    <t>NEO-6M GPS Module</t>
  </si>
  <si>
    <t>GPS</t>
  </si>
  <si>
    <t>http://hobbyking.com/hobbyking/store/__54795__NEO_6M_GPS_Module_US_Warehouse_.html?strSearch=neo%206m</t>
  </si>
  <si>
    <t>NTM Prop Drive 28-36 1000kV Brushless Motors</t>
  </si>
  <si>
    <t>MOTOR</t>
  </si>
  <si>
    <t>http://hobbyking.com/hobbyking/store/__42709__NTM_Prop_Drive_28_36_1000KV_400W_Brushless_Motor_US_Warehouse_.html?strSearch=ntm%2028-36</t>
  </si>
  <si>
    <t>NTM Prop Drive 28 Brushless Motor Adapter</t>
  </si>
  <si>
    <t>ADAPTER</t>
  </si>
  <si>
    <t>NTM28-ACC</t>
  </si>
  <si>
    <t>http://hobbyking.com/hobbyking/store/__16719__NTM_Prop_Drive_28_Series_Accessory_Pack.html</t>
  </si>
  <si>
    <t>AFRO 30A Speed Control</t>
  </si>
  <si>
    <t>ESC</t>
  </si>
  <si>
    <t>9192000124-0</t>
  </si>
  <si>
    <t>http://hobbyking.com/hobbyking/store/__52338__Afro_ESC_30Amp_Multi_rotor_Motor_Speed_Controller_SimonK_Firmware_US_Warehouse_.html?strSearch=afro%2030</t>
  </si>
  <si>
    <t>AFRO ESC Programmer</t>
  </si>
  <si>
    <t>ESC PROG.</t>
  </si>
  <si>
    <t>http://hobbyking.com/hobbyking/store/__48057__Afro_ESC_USB_Programming_Tool_USA_Warehouse_.html</t>
  </si>
  <si>
    <t>Turnigy 4s 5000mAh LiPo battery</t>
  </si>
  <si>
    <t>BATTERY</t>
  </si>
  <si>
    <t>T50004S-20HC</t>
  </si>
  <si>
    <t>http://hobbyking.com/hobbyking/store/__18631__Turnigy_5000mAh_4S1P_14_8v_20C_hardcase_pack_USA_Warehouse_.html?strSearch=turnigy%20hardcase</t>
  </si>
  <si>
    <t>11x4.7 Carbon Fiber Propeller</t>
  </si>
  <si>
    <t>PROP</t>
  </si>
  <si>
    <t>445000049-0</t>
  </si>
  <si>
    <t>http://hobbyking.com/hobbyking/store/__25689__Carbon_Fiber_Propellers_11X4_7_LH_and_RH_Rotation_Pair.html?strSearch=11%20carbon%20fiber%20prop</t>
  </si>
  <si>
    <t>Boscam 2000mW 5.8 GHz Video Transmitter</t>
  </si>
  <si>
    <t>VID. TX</t>
  </si>
  <si>
    <t>263000022-0</t>
  </si>
  <si>
    <t>http://hobbyking.com/hobbyking/store/__46362__Boscam_Thunderbolt_2000mW_5_8GHz_FPV_Transmitter.html?strSearch=boscam%20thunderbolt</t>
  </si>
  <si>
    <t>Boscam 5.8GHz receiver</t>
  </si>
  <si>
    <t>VID. RX</t>
  </si>
  <si>
    <t>RC305Receiver</t>
  </si>
  <si>
    <t>http://hobbyking.com/hobbyking/store/__15415__Boscam_RC305_5_8Ghz_8_Channel_AV_Receiver.html?strSearch=rc305</t>
  </si>
  <si>
    <t>7in TFT Analog Screen</t>
  </si>
  <si>
    <t>SCREEN</t>
  </si>
  <si>
    <t>BW7MY</t>
  </si>
  <si>
    <t>http://www.amazon.com/gp/product/B007SLDF7O/ref=oh_details_o06_s00_i00?ie=UTF8&amp;psc=1</t>
  </si>
  <si>
    <t>433 MHz Telemetry Combo</t>
  </si>
  <si>
    <t>TELEMETRY</t>
  </si>
  <si>
    <t>9387000030-0</t>
  </si>
  <si>
    <t>http://hobbyking.com/hobbyking/store/__42847__FPV_433Mhz_Radio_Telemetry_Kit_100mW_V1_1.html</t>
  </si>
  <si>
    <t>Turnigy 9X 2.4GHz Transmitter &amp; Receiver</t>
  </si>
  <si>
    <t>TRANSMITTER</t>
  </si>
  <si>
    <t>TX-9X-M2</t>
  </si>
  <si>
    <t>http://hobbyking.com/hobbyking/store/__19673__Turnigy_9X_9Ch_Transmitter_w_Module_8ch_Receiver_Mode_2_v2_Firmware_USA_Warehouse_.html?strSearch=turnigy%209x</t>
  </si>
  <si>
    <t>Sony CCD 700TVL Camera</t>
  </si>
  <si>
    <t>CAM</t>
  </si>
  <si>
    <t>http://hobbyking.com/hobbyking/store/__13197__1_3_inch_Sony_CCD_Video_Camera_700TV_Lines_F1_2_PAL_.html</t>
  </si>
  <si>
    <t>2.8mm FPV Wide Angle Lens</t>
  </si>
  <si>
    <t>N/A</t>
  </si>
  <si>
    <t>FPV_CCDN</t>
  </si>
  <si>
    <t>http://hobbyking.com/hobbyking/store/__13434__1_3_inch_SONY_CCD_Video_Camera_NTSC_.html</t>
  </si>
  <si>
    <t>MinimOSD</t>
  </si>
  <si>
    <t>OSD</t>
  </si>
  <si>
    <t>http://hobbyking.com/hobbyking/store/__54797__Minim_OSD_v1_1_US_Warehouse_.html</t>
  </si>
  <si>
    <t>FTDI Breakout Board</t>
  </si>
  <si>
    <t>FTDI</t>
  </si>
  <si>
    <t>https://www.sparkfun.com/products/9716</t>
  </si>
  <si>
    <t>Circular Polarized 5.8 GHz antenna set SHORT</t>
  </si>
  <si>
    <t>ANT.</t>
  </si>
  <si>
    <t>435000044-0</t>
  </si>
  <si>
    <t>http://hobbyking.com/hobbyking/store/__43703__5_8GHz_Circular_Polarized_Antenna_RP_SMA_Set_Short_.html</t>
  </si>
  <si>
    <t>Turnigy 3s 2200 Transmitter Pack</t>
  </si>
  <si>
    <t>TRANS BATT.</t>
  </si>
  <si>
    <t>http://hobbyking.com/hobbyking/store/__45020__Turnigy_9XR_Safety_Protected_11_1v_3s_2200mAh_1_5C_Transmitter_Pack_USA_warehouse_.html?strSearch=turnigy%209x</t>
  </si>
  <si>
    <t>.75in Aluminum Square Tubing 6ft</t>
  </si>
  <si>
    <t>LANDING</t>
  </si>
  <si>
    <r>
      <t>http://www.lowes.com/pd_215691-37672-11388_0__?productId=3053575&amp;Ntt=aluminum+tubing&amp;pl=1&amp;currentURL=%3FNtt%3Daluminum%2Btubing&amp;facetInfo</t>
    </r>
    <r>
      <rPr>
        <sz val="10"/>
        <rFont val="Arial"/>
        <family val="2"/>
        <charset val="1"/>
      </rPr>
      <t>=</t>
    </r>
  </si>
  <si>
    <t>.5in Aluminum Square Tubing 4ft</t>
  </si>
  <si>
    <t>ARMS</t>
  </si>
  <si>
    <t>T312063</t>
  </si>
  <si>
    <r>
      <t>https://www.metalsdepot.com/products/alum2.phtml?page=tube&amp;LimAcc=%20&amp;aident</t>
    </r>
    <r>
      <rPr>
        <sz val="10"/>
        <rFont val="Arial"/>
        <family val="2"/>
        <charset val="1"/>
      </rPr>
      <t>=</t>
    </r>
  </si>
  <si>
    <t>McMasterCarr Bolts</t>
  </si>
  <si>
    <t>http://www.mcmaster.com/</t>
  </si>
  <si>
    <t>McMasterCarr Rubber</t>
  </si>
  <si>
    <r>
      <t>8981K14</t>
    </r>
    <r>
      <rPr>
        <sz val="10"/>
        <rFont val="Arial"/>
        <family val="2"/>
        <charset val="1"/>
      </rPr>
      <t xml:space="preserve"> </t>
    </r>
  </si>
  <si>
    <t>http://www.mcmaster.com/#catalog/120/3546/=rrqa0g</t>
  </si>
  <si>
    <t>Zip Ties</t>
  </si>
  <si>
    <t>Walmart.com</t>
  </si>
  <si>
    <t>Low Voltage Alarm</t>
  </si>
  <si>
    <t>ALARM</t>
  </si>
  <si>
    <t>Voltage-Alarm</t>
  </si>
  <si>
    <t>https://www.hobbyking.com/hobbyking/store/__34120__Hobbyking_2_8S_Cell_Checker_with_Low_Voltage_Alarm_US_Warehouse_.html</t>
  </si>
  <si>
    <t>XT60 Battery Connector</t>
  </si>
  <si>
    <t>015000103-0</t>
  </si>
  <si>
    <t>https://www.hobbyking.com/hobbyking/store/__52412__Black_XT60_Male_and_Female_5_Pairs_Bag_US_Warehouse_.html?strSearch=XT60%20black</t>
  </si>
  <si>
    <t>12 Gauge Wire 6ft.</t>
  </si>
  <si>
    <t>R12A1062-06 and B12A1062-06</t>
  </si>
  <si>
    <t>https://www.hobbyking.com/hobbyking/store/__42750__Turnigy_Pure_Silicone_Wire_12AWG_1mtr_RED_USA_warehouse_.html?strSearch=12%20wire</t>
  </si>
  <si>
    <t>https://www.hobbyking.com/hobbyking/store/__41169__Turnigy_Pure_Silicone_Wire_12AWG_1mtr_BLACK_USA_warehouse_.html?strSearch=12%20wire</t>
  </si>
  <si>
    <t>Various Wire Shielding</t>
  </si>
  <si>
    <t>ES-02-6mm</t>
  </si>
  <si>
    <t>https://www.hobbyking.com/hobbyking/store/__9552__Wire_Mesh_Guard_Black_6mm_1mtr_.html</t>
  </si>
  <si>
    <t>HXT 4.0</t>
  </si>
  <si>
    <t>AM1009x10</t>
  </si>
  <si>
    <t>https://www.hobbyking.com/hobbyking/store/__30921__HXT_4mm_Gold_Connector_w_Protector_10pcs_set_US_Warehouse_.html?strSearch=hxt</t>
  </si>
  <si>
    <t>HD DVR</t>
  </si>
  <si>
    <t>DVR</t>
  </si>
  <si>
    <t>https://www.hobbyking.com/hobbyking/store/__25321__SD_DVR_High_Resolution_Digital_Video_Recorder_for_FPV.html?strSearch=dvr</t>
  </si>
  <si>
    <t>TOTAL:</t>
  </si>
  <si>
    <t>HK Pilot Mega Bundle</t>
  </si>
  <si>
    <t>387000043-0</t>
  </si>
  <si>
    <t>http://hobbyking.com/hobbyking/store/__52391__HKPilot_Mega_2_5_2_Master_Set_With_OSD_LEA_6H_GPS_Power_module_Telemetry_Radio_915Mhz_XT_60_.html</t>
  </si>
  <si>
    <t>OPTIONAL, BUT RECOMMENDED: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</si>
</sst>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  <family val="2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0000FF"/>
      <name val="Arial"/>
      <family val="2"/>
      <charset val="1"/>
    </font>
    <font>
      <b/>
      <sz val="14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etalsdepot.com/products/alum2.phtml?page=tube&amp;LimAcc=%20&amp;aident" TargetMode="External"/><Relationship Id="rId2" Type="http://schemas.openxmlformats.org/officeDocument/2006/relationships/hyperlink" Target="http://www.lowes.com/pd_215691-37672-11388_0__?productId=3053575&amp;Ntt=aluminum+tubing&amp;pl=1&amp;currentURL=%3FNtt%3Daluminum%2Btubing&amp;facetInfo" TargetMode="External"/><Relationship Id="rId1" Type="http://schemas.openxmlformats.org/officeDocument/2006/relationships/hyperlink" Target="http://www.amazon.com/gp/product/B007SLDF7O/ref=oh_details_o06_s00_i00?ie=UTF8&amp;psc=1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://www.mcmaster.com/OrdHist/OrdHist.aspx?dtrngpref=ONE_YR" TargetMode="External"/><Relationship Id="rId4" Type="http://schemas.openxmlformats.org/officeDocument/2006/relationships/hyperlink" Target="http://www.mcmaste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L40"/>
  <sheetViews>
    <sheetView tabSelected="1" topLeftCell="A34" zoomScaleNormal="100" workbookViewId="0">
      <selection activeCell="D43" sqref="D43"/>
    </sheetView>
  </sheetViews>
  <sheetFormatPr defaultRowHeight="12.75" x14ac:dyDescent="0.2"/>
  <cols>
    <col min="2" max="2" width="11.5703125" style="1"/>
    <col min="3" max="3" width="21.7109375" style="1"/>
    <col min="4" max="4" width="14.42578125" style="1"/>
    <col min="5" max="5" width="16" style="1" customWidth="1"/>
    <col min="6" max="6" width="11.5703125" style="1"/>
    <col min="7" max="7" width="7" style="1" customWidth="1"/>
    <col min="8" max="8" width="11.5703125" style="1" customWidth="1"/>
    <col min="9" max="9" width="31.85546875" style="1" customWidth="1"/>
    <col min="10" max="1026" width="11.5703125" style="1"/>
  </cols>
  <sheetData>
    <row r="1" spans="2:10" ht="13.5" thickBot="1" x14ac:dyDescent="0.25"/>
    <row r="2" spans="2:10" ht="21.75" customHeight="1" thickBot="1" x14ac:dyDescent="0.25">
      <c r="B2" s="13" t="s">
        <v>0</v>
      </c>
      <c r="C2" s="14"/>
      <c r="D2" s="14"/>
      <c r="E2" s="14"/>
      <c r="F2" s="14"/>
      <c r="G2" s="14"/>
      <c r="H2" s="14"/>
      <c r="I2" s="15"/>
      <c r="J2" s="2"/>
    </row>
    <row r="3" spans="2:10" ht="25.5" x14ac:dyDescent="0.2">
      <c r="B3" s="11" t="s">
        <v>1</v>
      </c>
      <c r="C3" s="12" t="s">
        <v>2</v>
      </c>
      <c r="D3" s="11" t="s">
        <v>3</v>
      </c>
      <c r="E3" s="11" t="s">
        <v>4</v>
      </c>
      <c r="F3" s="11" t="s">
        <v>5</v>
      </c>
      <c r="G3" s="11" t="s">
        <v>6</v>
      </c>
      <c r="H3" s="11" t="s">
        <v>7</v>
      </c>
      <c r="I3" s="11" t="s">
        <v>8</v>
      </c>
      <c r="J3" s="2"/>
    </row>
    <row r="4" spans="2:10" ht="54" customHeight="1" x14ac:dyDescent="0.2">
      <c r="B4" s="9">
        <v>1</v>
      </c>
      <c r="C4" s="8" t="s">
        <v>9</v>
      </c>
      <c r="D4" s="8" t="s">
        <v>10</v>
      </c>
      <c r="E4" s="8">
        <v>9387000016</v>
      </c>
      <c r="F4" s="8">
        <v>1</v>
      </c>
      <c r="G4" s="8">
        <v>75.790000000000006</v>
      </c>
      <c r="H4" s="8">
        <v>75.790000000000006</v>
      </c>
      <c r="I4" s="8" t="s">
        <v>11</v>
      </c>
      <c r="J4" s="2"/>
    </row>
    <row r="5" spans="2:10" ht="53.25" customHeight="1" x14ac:dyDescent="0.2">
      <c r="B5" s="9">
        <v>2</v>
      </c>
      <c r="C5" s="8" t="s">
        <v>12</v>
      </c>
      <c r="D5" s="8" t="s">
        <v>13</v>
      </c>
      <c r="E5" s="8">
        <v>387000004</v>
      </c>
      <c r="F5" s="8">
        <v>1</v>
      </c>
      <c r="G5" s="8">
        <v>22.49</v>
      </c>
      <c r="H5" s="8">
        <v>22.49</v>
      </c>
      <c r="I5" s="8" t="s">
        <v>14</v>
      </c>
      <c r="J5" s="2"/>
    </row>
    <row r="6" spans="2:10" ht="65.25" customHeight="1" x14ac:dyDescent="0.2">
      <c r="B6" s="9">
        <v>3</v>
      </c>
      <c r="C6" s="8" t="s">
        <v>15</v>
      </c>
      <c r="D6" s="8" t="s">
        <v>16</v>
      </c>
      <c r="E6" s="8">
        <v>281052552799</v>
      </c>
      <c r="F6" s="8">
        <v>8</v>
      </c>
      <c r="G6" s="8">
        <v>16.12</v>
      </c>
      <c r="H6" s="8">
        <f>G6*F6</f>
        <v>128.96</v>
      </c>
      <c r="I6" s="8" t="s">
        <v>17</v>
      </c>
      <c r="J6" s="2"/>
    </row>
    <row r="7" spans="2:10" ht="41.25" customHeight="1" x14ac:dyDescent="0.2">
      <c r="B7" s="9">
        <v>4</v>
      </c>
      <c r="C7" s="8" t="s">
        <v>18</v>
      </c>
      <c r="D7" s="8" t="s">
        <v>19</v>
      </c>
      <c r="E7" s="8" t="s">
        <v>20</v>
      </c>
      <c r="F7" s="8">
        <v>8</v>
      </c>
      <c r="G7" s="8">
        <v>1.89</v>
      </c>
      <c r="H7" s="8">
        <f>G7*F7</f>
        <v>15.12</v>
      </c>
      <c r="I7" s="8" t="s">
        <v>21</v>
      </c>
      <c r="J7" s="2"/>
    </row>
    <row r="8" spans="2:10" ht="74.25" customHeight="1" x14ac:dyDescent="0.2">
      <c r="B8" s="9">
        <v>5</v>
      </c>
      <c r="C8" s="8" t="s">
        <v>22</v>
      </c>
      <c r="D8" s="8" t="s">
        <v>23</v>
      </c>
      <c r="E8" s="8" t="s">
        <v>24</v>
      </c>
      <c r="F8" s="8">
        <v>8</v>
      </c>
      <c r="G8" s="8">
        <v>13.97</v>
      </c>
      <c r="H8" s="8">
        <f>G8*F8</f>
        <v>111.76</v>
      </c>
      <c r="I8" s="8" t="s">
        <v>25</v>
      </c>
      <c r="J8" s="2"/>
    </row>
    <row r="9" spans="2:10" ht="45" customHeight="1" x14ac:dyDescent="0.2">
      <c r="B9" s="9">
        <v>6</v>
      </c>
      <c r="C9" s="8" t="s">
        <v>26</v>
      </c>
      <c r="D9" s="8" t="s">
        <v>27</v>
      </c>
      <c r="E9" s="8">
        <v>9171000243</v>
      </c>
      <c r="F9" s="8">
        <v>1</v>
      </c>
      <c r="G9" s="8">
        <v>7.35</v>
      </c>
      <c r="H9" s="8">
        <v>7.35</v>
      </c>
      <c r="I9" s="8" t="s">
        <v>28</v>
      </c>
      <c r="J9" s="2"/>
    </row>
    <row r="10" spans="2:10" ht="67.5" customHeight="1" x14ac:dyDescent="0.2">
      <c r="B10" s="9">
        <v>7</v>
      </c>
      <c r="C10" s="8" t="s">
        <v>29</v>
      </c>
      <c r="D10" s="8" t="s">
        <v>30</v>
      </c>
      <c r="E10" s="8" t="s">
        <v>31</v>
      </c>
      <c r="F10" s="8">
        <v>4</v>
      </c>
      <c r="G10" s="8">
        <v>25.47</v>
      </c>
      <c r="H10" s="8">
        <f>F10*G10</f>
        <v>101.88</v>
      </c>
      <c r="I10" s="8" t="s">
        <v>32</v>
      </c>
      <c r="J10" s="2"/>
    </row>
    <row r="11" spans="2:10" ht="64.5" customHeight="1" x14ac:dyDescent="0.2">
      <c r="B11" s="9">
        <v>8</v>
      </c>
      <c r="C11" s="8" t="s">
        <v>33</v>
      </c>
      <c r="D11" s="8" t="s">
        <v>34</v>
      </c>
      <c r="E11" s="8" t="s">
        <v>35</v>
      </c>
      <c r="F11" s="8">
        <v>6</v>
      </c>
      <c r="G11" s="8">
        <v>8.19</v>
      </c>
      <c r="H11" s="8">
        <f>G11*F11</f>
        <v>49.14</v>
      </c>
      <c r="I11" s="8" t="s">
        <v>36</v>
      </c>
      <c r="J11" s="2"/>
    </row>
    <row r="12" spans="2:10" ht="54.75" customHeight="1" x14ac:dyDescent="0.2">
      <c r="B12" s="9">
        <v>9</v>
      </c>
      <c r="C12" s="8" t="s">
        <v>37</v>
      </c>
      <c r="D12" s="8" t="s">
        <v>38</v>
      </c>
      <c r="E12" s="8" t="s">
        <v>39</v>
      </c>
      <c r="F12" s="8">
        <v>1</v>
      </c>
      <c r="G12" s="8">
        <v>123.48</v>
      </c>
      <c r="H12" s="8">
        <v>123.48</v>
      </c>
      <c r="I12" s="8" t="s">
        <v>40</v>
      </c>
      <c r="J12" s="2"/>
    </row>
    <row r="13" spans="2:10" ht="52.5" customHeight="1" x14ac:dyDescent="0.2">
      <c r="B13" s="9">
        <v>10</v>
      </c>
      <c r="C13" s="8" t="s">
        <v>41</v>
      </c>
      <c r="D13" s="8" t="s">
        <v>42</v>
      </c>
      <c r="E13" s="8" t="s">
        <v>43</v>
      </c>
      <c r="F13" s="8">
        <v>1</v>
      </c>
      <c r="G13" s="8">
        <v>24.99</v>
      </c>
      <c r="H13" s="8">
        <v>24.99</v>
      </c>
      <c r="I13" s="8" t="s">
        <v>44</v>
      </c>
      <c r="J13" s="2"/>
    </row>
    <row r="14" spans="2:10" ht="39.75" customHeight="1" x14ac:dyDescent="0.2">
      <c r="B14" s="9">
        <v>11</v>
      </c>
      <c r="C14" s="8" t="s">
        <v>45</v>
      </c>
      <c r="D14" s="8" t="s">
        <v>46</v>
      </c>
      <c r="E14" s="8" t="s">
        <v>47</v>
      </c>
      <c r="F14" s="8">
        <v>1</v>
      </c>
      <c r="G14" s="8">
        <v>31.28</v>
      </c>
      <c r="H14" s="8">
        <v>31.28</v>
      </c>
      <c r="I14" s="10" t="s">
        <v>48</v>
      </c>
      <c r="J14" s="2"/>
    </row>
    <row r="15" spans="2:10" ht="46.5" customHeight="1" x14ac:dyDescent="0.2">
      <c r="B15" s="9">
        <v>12</v>
      </c>
      <c r="C15" s="8" t="s">
        <v>49</v>
      </c>
      <c r="D15" s="8" t="s">
        <v>50</v>
      </c>
      <c r="E15" s="8" t="s">
        <v>51</v>
      </c>
      <c r="F15" s="8">
        <v>1</v>
      </c>
      <c r="G15" s="8">
        <v>32.04</v>
      </c>
      <c r="H15" s="8">
        <v>32.04</v>
      </c>
      <c r="I15" s="8" t="s">
        <v>52</v>
      </c>
      <c r="J15" s="2"/>
    </row>
    <row r="16" spans="2:10" ht="63" customHeight="1" x14ac:dyDescent="0.2">
      <c r="B16" s="9">
        <v>13</v>
      </c>
      <c r="C16" s="8" t="s">
        <v>53</v>
      </c>
      <c r="D16" s="8" t="s">
        <v>54</v>
      </c>
      <c r="E16" s="8" t="s">
        <v>55</v>
      </c>
      <c r="F16" s="8">
        <v>1</v>
      </c>
      <c r="G16" s="8"/>
      <c r="H16" s="8">
        <v>69.97</v>
      </c>
      <c r="I16" s="8" t="s">
        <v>56</v>
      </c>
      <c r="J16" s="2"/>
    </row>
    <row r="17" spans="2:10" ht="52.5" customHeight="1" x14ac:dyDescent="0.2">
      <c r="B17" s="9">
        <v>14</v>
      </c>
      <c r="C17" s="8" t="s">
        <v>57</v>
      </c>
      <c r="D17" s="8" t="s">
        <v>58</v>
      </c>
      <c r="E17" s="8">
        <v>350000001</v>
      </c>
      <c r="F17" s="8">
        <v>1</v>
      </c>
      <c r="G17" s="8"/>
      <c r="H17" s="8">
        <v>34.74</v>
      </c>
      <c r="I17" s="8" t="s">
        <v>59</v>
      </c>
      <c r="J17" s="2"/>
    </row>
    <row r="18" spans="2:10" ht="41.25" customHeight="1" x14ac:dyDescent="0.2">
      <c r="B18" s="9">
        <v>15</v>
      </c>
      <c r="C18" s="8" t="s">
        <v>60</v>
      </c>
      <c r="D18" s="8" t="s">
        <v>61</v>
      </c>
      <c r="E18" s="8" t="s">
        <v>62</v>
      </c>
      <c r="F18" s="8">
        <v>1</v>
      </c>
      <c r="G18" s="8">
        <v>16.989999999999998</v>
      </c>
      <c r="H18" s="8">
        <v>16.989999999999998</v>
      </c>
      <c r="I18" s="8" t="s">
        <v>63</v>
      </c>
      <c r="J18" s="2"/>
    </row>
    <row r="19" spans="2:10" ht="41.25" customHeight="1" x14ac:dyDescent="0.2">
      <c r="B19" s="9">
        <v>16</v>
      </c>
      <c r="C19" s="8" t="s">
        <v>64</v>
      </c>
      <c r="D19" s="8" t="s">
        <v>65</v>
      </c>
      <c r="E19" s="8">
        <v>387000015</v>
      </c>
      <c r="F19" s="8">
        <v>1</v>
      </c>
      <c r="G19" s="8">
        <v>19.899999999999999</v>
      </c>
      <c r="H19" s="8">
        <v>19.899999999999999</v>
      </c>
      <c r="I19" s="8" t="s">
        <v>66</v>
      </c>
      <c r="J19" s="2"/>
    </row>
    <row r="20" spans="2:10" ht="26.25" customHeight="1" x14ac:dyDescent="0.2">
      <c r="B20" s="9">
        <v>17</v>
      </c>
      <c r="C20" s="8" t="s">
        <v>67</v>
      </c>
      <c r="D20" s="8" t="s">
        <v>68</v>
      </c>
      <c r="E20" s="8">
        <v>9716</v>
      </c>
      <c r="F20" s="8">
        <v>1</v>
      </c>
      <c r="G20" s="8">
        <v>14.95</v>
      </c>
      <c r="H20" s="8">
        <v>14.95</v>
      </c>
      <c r="I20" s="8" t="s">
        <v>69</v>
      </c>
      <c r="J20" s="2"/>
    </row>
    <row r="21" spans="2:10" ht="53.25" customHeight="1" x14ac:dyDescent="0.2">
      <c r="B21" s="9">
        <v>18</v>
      </c>
      <c r="C21" s="8" t="s">
        <v>70</v>
      </c>
      <c r="D21" s="8" t="s">
        <v>71</v>
      </c>
      <c r="E21" s="8" t="s">
        <v>72</v>
      </c>
      <c r="F21" s="8">
        <v>1</v>
      </c>
      <c r="G21" s="8">
        <v>11.34</v>
      </c>
      <c r="H21" s="8">
        <v>11.34</v>
      </c>
      <c r="I21" s="8" t="s">
        <v>73</v>
      </c>
      <c r="J21" s="2"/>
    </row>
    <row r="22" spans="2:10" ht="65.25" customHeight="1" x14ac:dyDescent="0.2">
      <c r="B22" s="9">
        <v>19</v>
      </c>
      <c r="C22" s="8" t="s">
        <v>74</v>
      </c>
      <c r="D22" s="8" t="s">
        <v>75</v>
      </c>
      <c r="E22" s="8">
        <v>9171000183</v>
      </c>
      <c r="F22" s="8">
        <v>1</v>
      </c>
      <c r="G22" s="8">
        <v>13.17</v>
      </c>
      <c r="H22" s="8">
        <v>13.17</v>
      </c>
      <c r="I22" s="8" t="s">
        <v>76</v>
      </c>
      <c r="J22" s="2"/>
    </row>
    <row r="23" spans="2:10" ht="79.5" customHeight="1" x14ac:dyDescent="0.2">
      <c r="B23" s="9">
        <v>20</v>
      </c>
      <c r="C23" s="8" t="s">
        <v>77</v>
      </c>
      <c r="D23" s="8" t="s">
        <v>78</v>
      </c>
      <c r="E23" s="8">
        <v>215691</v>
      </c>
      <c r="F23" s="8">
        <v>1</v>
      </c>
      <c r="G23" s="8">
        <v>22.88</v>
      </c>
      <c r="H23" s="8">
        <v>22.88</v>
      </c>
      <c r="I23" s="10" t="s">
        <v>79</v>
      </c>
      <c r="J23" s="2"/>
    </row>
    <row r="24" spans="2:10" ht="39.75" customHeight="1" x14ac:dyDescent="0.2">
      <c r="B24" s="9">
        <v>21</v>
      </c>
      <c r="C24" s="8" t="s">
        <v>80</v>
      </c>
      <c r="D24" s="8" t="s">
        <v>81</v>
      </c>
      <c r="E24" s="8" t="s">
        <v>82</v>
      </c>
      <c r="F24" s="8">
        <v>1</v>
      </c>
      <c r="G24" s="8">
        <v>4.9800000000000004</v>
      </c>
      <c r="H24" s="8">
        <v>4.9800000000000004</v>
      </c>
      <c r="I24" s="10" t="s">
        <v>83</v>
      </c>
      <c r="J24" s="2"/>
    </row>
    <row r="25" spans="2:10" ht="14.25" customHeight="1" x14ac:dyDescent="0.2">
      <c r="B25" s="9">
        <v>22</v>
      </c>
      <c r="C25" s="8" t="s">
        <v>84</v>
      </c>
      <c r="D25" s="8" t="s">
        <v>61</v>
      </c>
      <c r="E25" s="8" t="s">
        <v>61</v>
      </c>
      <c r="F25" s="8">
        <v>1</v>
      </c>
      <c r="G25" s="8">
        <v>20</v>
      </c>
      <c r="H25" s="8">
        <v>20</v>
      </c>
      <c r="I25" s="10" t="s">
        <v>85</v>
      </c>
      <c r="J25" s="2"/>
    </row>
    <row r="26" spans="2:10" ht="27.75" customHeight="1" x14ac:dyDescent="0.2">
      <c r="B26" s="9">
        <v>23</v>
      </c>
      <c r="C26" s="8" t="s">
        <v>86</v>
      </c>
      <c r="D26" s="8" t="s">
        <v>61</v>
      </c>
      <c r="E26" s="10" t="s">
        <v>87</v>
      </c>
      <c r="F26" s="8">
        <v>1</v>
      </c>
      <c r="G26" s="8">
        <v>7.83</v>
      </c>
      <c r="H26" s="8">
        <v>7.83</v>
      </c>
      <c r="I26" s="8" t="s">
        <v>88</v>
      </c>
      <c r="J26" s="2"/>
    </row>
    <row r="27" spans="2:10" x14ac:dyDescent="0.2">
      <c r="B27" s="9">
        <v>24</v>
      </c>
      <c r="C27" s="8" t="s">
        <v>89</v>
      </c>
      <c r="D27" s="8" t="s">
        <v>61</v>
      </c>
      <c r="E27" s="8" t="s">
        <v>61</v>
      </c>
      <c r="F27" s="8">
        <v>3</v>
      </c>
      <c r="G27" s="8">
        <v>5</v>
      </c>
      <c r="H27" s="8">
        <v>15</v>
      </c>
      <c r="I27" s="8" t="s">
        <v>90</v>
      </c>
      <c r="J27" s="2"/>
    </row>
    <row r="28" spans="2:10" ht="54" customHeight="1" x14ac:dyDescent="0.2">
      <c r="B28" s="9">
        <v>25</v>
      </c>
      <c r="C28" s="8" t="s">
        <v>91</v>
      </c>
      <c r="D28" s="8" t="s">
        <v>92</v>
      </c>
      <c r="E28" s="8" t="s">
        <v>93</v>
      </c>
      <c r="F28" s="8">
        <v>2</v>
      </c>
      <c r="G28" s="8">
        <v>3.92</v>
      </c>
      <c r="H28" s="8">
        <f>3.92*2</f>
        <v>7.84</v>
      </c>
      <c r="I28" s="8" t="s">
        <v>94</v>
      </c>
      <c r="J28" s="2"/>
    </row>
    <row r="29" spans="2:10" ht="66.75" customHeight="1" x14ac:dyDescent="0.2">
      <c r="B29" s="9">
        <v>26</v>
      </c>
      <c r="C29" s="8" t="s">
        <v>95</v>
      </c>
      <c r="D29" s="8" t="s">
        <v>61</v>
      </c>
      <c r="E29" s="8" t="s">
        <v>96</v>
      </c>
      <c r="F29" s="8">
        <v>2</v>
      </c>
      <c r="G29" s="8">
        <v>4.6900000000000004</v>
      </c>
      <c r="H29" s="8">
        <f>4.69*2</f>
        <v>9.3800000000000008</v>
      </c>
      <c r="I29" s="8" t="s">
        <v>97</v>
      </c>
      <c r="J29" s="2"/>
    </row>
    <row r="30" spans="2:10" ht="64.5" customHeight="1" x14ac:dyDescent="0.2">
      <c r="B30" s="9">
        <v>27</v>
      </c>
      <c r="C30" s="8" t="s">
        <v>98</v>
      </c>
      <c r="D30" s="8" t="s">
        <v>61</v>
      </c>
      <c r="E30" s="8" t="s">
        <v>99</v>
      </c>
      <c r="F30" s="8">
        <v>2</v>
      </c>
      <c r="G30" s="8">
        <v>2.38</v>
      </c>
      <c r="H30" s="8">
        <f>2.38*4</f>
        <v>9.52</v>
      </c>
      <c r="I30" s="8" t="s">
        <v>100</v>
      </c>
      <c r="J30" s="3" t="s">
        <v>101</v>
      </c>
    </row>
    <row r="31" spans="2:10" ht="41.25" customHeight="1" x14ac:dyDescent="0.2">
      <c r="B31" s="9">
        <v>28</v>
      </c>
      <c r="C31" s="8" t="s">
        <v>102</v>
      </c>
      <c r="D31" s="8" t="s">
        <v>61</v>
      </c>
      <c r="E31" s="8" t="s">
        <v>103</v>
      </c>
      <c r="F31" s="8">
        <v>6</v>
      </c>
      <c r="G31" s="8">
        <v>0.49</v>
      </c>
      <c r="H31" s="8">
        <f>6*0.49</f>
        <v>2.94</v>
      </c>
      <c r="I31" s="8" t="s">
        <v>104</v>
      </c>
      <c r="J31" s="2"/>
    </row>
    <row r="32" spans="2:10" ht="56.25" customHeight="1" x14ac:dyDescent="0.2">
      <c r="B32" s="9">
        <v>29</v>
      </c>
      <c r="C32" s="8" t="s">
        <v>105</v>
      </c>
      <c r="D32" s="8" t="s">
        <v>61</v>
      </c>
      <c r="E32" s="8" t="s">
        <v>106</v>
      </c>
      <c r="F32" s="8">
        <v>2</v>
      </c>
      <c r="G32" s="8">
        <v>4.46</v>
      </c>
      <c r="H32" s="8">
        <f>4.46*2</f>
        <v>8.92</v>
      </c>
      <c r="I32" s="8" t="s">
        <v>107</v>
      </c>
      <c r="J32" s="2"/>
    </row>
    <row r="33" spans="2:10" ht="56.25" customHeight="1" x14ac:dyDescent="0.2">
      <c r="B33" s="9">
        <v>30</v>
      </c>
      <c r="C33" s="8" t="s">
        <v>108</v>
      </c>
      <c r="D33" s="8" t="s">
        <v>109</v>
      </c>
      <c r="E33" s="8">
        <v>428000001</v>
      </c>
      <c r="F33" s="8">
        <v>1</v>
      </c>
      <c r="G33" s="8">
        <v>52.22</v>
      </c>
      <c r="H33" s="8">
        <v>52.22</v>
      </c>
      <c r="I33" s="8" t="s">
        <v>110</v>
      </c>
      <c r="J33" s="2"/>
    </row>
    <row r="34" spans="2:10" x14ac:dyDescent="0.2">
      <c r="B34" s="9"/>
      <c r="C34" s="8"/>
      <c r="D34" s="8"/>
      <c r="E34" s="8"/>
      <c r="F34" s="8"/>
      <c r="G34" s="8"/>
      <c r="H34" s="8"/>
      <c r="I34" s="8"/>
      <c r="J34" s="2"/>
    </row>
    <row r="35" spans="2:10" x14ac:dyDescent="0.2">
      <c r="B35" s="9" t="s">
        <v>111</v>
      </c>
      <c r="C35" s="8"/>
      <c r="D35" s="8"/>
      <c r="E35" s="8"/>
      <c r="F35" s="8"/>
      <c r="G35" s="8"/>
      <c r="H35" s="8">
        <f>SUM(H4:H33)</f>
        <v>1066.8500000000001</v>
      </c>
      <c r="I35" s="8"/>
      <c r="J35" s="2"/>
    </row>
    <row r="36" spans="2:10" x14ac:dyDescent="0.2">
      <c r="B36" s="4"/>
      <c r="C36" s="5"/>
      <c r="D36" s="5"/>
      <c r="E36" s="5"/>
      <c r="F36" s="5"/>
      <c r="G36" s="5"/>
      <c r="H36" s="5"/>
      <c r="I36" s="5"/>
      <c r="J36" s="2"/>
    </row>
    <row r="37" spans="2:10" ht="13.5" thickBot="1" x14ac:dyDescent="0.25">
      <c r="B37" s="4"/>
      <c r="C37" s="5"/>
      <c r="D37" s="5"/>
      <c r="E37" s="5"/>
      <c r="F37" s="5"/>
      <c r="G37" s="5"/>
      <c r="H37" s="5"/>
      <c r="I37" s="5"/>
      <c r="J37" s="2"/>
    </row>
    <row r="38" spans="2:10" ht="13.5" thickBot="1" x14ac:dyDescent="0.25">
      <c r="B38" s="19" t="s">
        <v>115</v>
      </c>
      <c r="C38" s="7"/>
      <c r="D38" s="17"/>
      <c r="E38" s="5"/>
      <c r="F38" s="5"/>
      <c r="G38" s="5"/>
      <c r="H38" s="5"/>
      <c r="I38" s="5"/>
      <c r="J38" s="2"/>
    </row>
    <row r="39" spans="2:10" ht="68.25" customHeight="1" x14ac:dyDescent="0.2">
      <c r="B39" s="18">
        <v>1</v>
      </c>
      <c r="C39" s="11" t="s">
        <v>112</v>
      </c>
      <c r="D39" s="8"/>
      <c r="E39" s="8" t="s">
        <v>113</v>
      </c>
      <c r="F39" s="8">
        <v>1</v>
      </c>
      <c r="G39" s="8">
        <v>169.99</v>
      </c>
      <c r="H39" s="8">
        <v>169.99</v>
      </c>
      <c r="I39" s="8" t="s">
        <v>114</v>
      </c>
      <c r="J39" s="2"/>
    </row>
    <row r="40" spans="2:10" x14ac:dyDescent="0.2">
      <c r="B40" s="16">
        <v>2</v>
      </c>
      <c r="C40" s="6"/>
      <c r="D40" s="6"/>
      <c r="E40" s="6"/>
      <c r="F40" s="6"/>
      <c r="G40" s="6"/>
      <c r="H40" s="6"/>
      <c r="I40" s="6"/>
      <c r="J40" s="2"/>
    </row>
  </sheetData>
  <mergeCells count="2">
    <mergeCell ref="B2:I2"/>
    <mergeCell ref="B38:C38"/>
  </mergeCells>
  <hyperlinks>
    <hyperlink ref="I14" r:id="rId1"/>
    <hyperlink ref="I23" r:id="rId2" display="http://www.lowes.com/pd_215691-37672-11388_0__?productId=3053575&amp;Ntt=aluminum+tubing&amp;pl=1&amp;currentURL=%3FNtt%3Daluminum%2Btubing&amp;facetInfo"/>
    <hyperlink ref="I24" r:id="rId3" display="https://www.metalsdepot.com/products/alum2.phtml?page=tube&amp;LimAcc=%20&amp;aident"/>
    <hyperlink ref="I25" r:id="rId4"/>
    <hyperlink ref="E26" r:id="rId5" display="8981K14"/>
  </hyperlinks>
  <pageMargins left="0.78749999999999998" right="0.78749999999999998" top="1.05277777777778" bottom="1.05277777777778" header="0.78749999999999998" footer="0.78749999999999998"/>
  <pageSetup orientation="portrait" useFirstPageNumber="1" horizontalDpi="4294967293" verticalDpi="4294967293" r:id="rId6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Robert</cp:lastModifiedBy>
  <cp:revision>0</cp:revision>
  <dcterms:created xsi:type="dcterms:W3CDTF">2014-04-30T17:31:54Z</dcterms:created>
  <dcterms:modified xsi:type="dcterms:W3CDTF">2014-05-01T06:28:19Z</dcterms:modified>
</cp:coreProperties>
</file>