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ony\Dropbox\Kickstarter TK\Kickstarter Originals\"/>
    </mc:Choice>
  </mc:AlternateContent>
  <bookViews>
    <workbookView xWindow="0" yWindow="0" windowWidth="2850" windowHeight="2205"/>
  </bookViews>
  <sheets>
    <sheet name="Summary" sheetId="11" r:id="rId1"/>
    <sheet name="$20" sheetId="1" r:id="rId2"/>
    <sheet name="$30" sheetId="3" r:id="rId3"/>
    <sheet name="$35" sheetId="2" r:id="rId4"/>
    <sheet name="$40" sheetId="4" r:id="rId5"/>
    <sheet name="$45" sheetId="5" r:id="rId6"/>
    <sheet name="$70" sheetId="6" r:id="rId7"/>
    <sheet name="$125" sheetId="7" r:id="rId8"/>
    <sheet name="$250" sheetId="8" r:id="rId9"/>
    <sheet name="$325" sheetId="9" r:id="rId10"/>
    <sheet name="$350" sheetId="10" r:id="rId1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2" i="11" l="1"/>
  <c r="Q3" i="11"/>
  <c r="Q4" i="11"/>
  <c r="Q5" i="11"/>
  <c r="Q6" i="11"/>
  <c r="Q7" i="11"/>
  <c r="Q8" i="11"/>
  <c r="Q9" i="11"/>
  <c r="Q10" i="11"/>
  <c r="Q11" i="11"/>
  <c r="Q2" i="11"/>
  <c r="P12" i="11"/>
  <c r="P4" i="11"/>
  <c r="P5" i="11"/>
  <c r="P6" i="11"/>
  <c r="P7" i="11"/>
  <c r="P8" i="11"/>
  <c r="P9" i="11"/>
  <c r="P10" i="11"/>
  <c r="P11" i="11"/>
  <c r="P3" i="11"/>
  <c r="P2" i="11"/>
  <c r="L42" i="11"/>
  <c r="L43" i="11"/>
  <c r="L44" i="11"/>
  <c r="L45" i="11"/>
  <c r="L46" i="11"/>
  <c r="L47" i="11"/>
  <c r="L48" i="11"/>
  <c r="L49" i="11"/>
  <c r="L50" i="11"/>
  <c r="B51" i="11"/>
  <c r="C51" i="11"/>
  <c r="D51" i="11"/>
  <c r="E51" i="11"/>
  <c r="F51" i="11"/>
  <c r="G51" i="11"/>
  <c r="H51" i="11"/>
  <c r="I51" i="11"/>
  <c r="J51" i="11"/>
  <c r="K51" i="11"/>
  <c r="L51" i="11"/>
  <c r="L52" i="11"/>
  <c r="L41" i="11"/>
  <c r="L29" i="11"/>
  <c r="L30" i="11"/>
  <c r="L31" i="11"/>
  <c r="L32" i="11"/>
  <c r="L33" i="11"/>
  <c r="L34" i="11"/>
  <c r="L35" i="11"/>
  <c r="L36" i="11"/>
  <c r="L37" i="11"/>
  <c r="D38" i="11"/>
  <c r="B38" i="11"/>
  <c r="C38" i="11"/>
  <c r="I38" i="11"/>
  <c r="J38" i="11"/>
  <c r="K38" i="11"/>
  <c r="F38" i="11"/>
  <c r="G38" i="11"/>
  <c r="L38" i="11"/>
  <c r="L39" i="11"/>
  <c r="L28" i="11"/>
  <c r="L16" i="11"/>
  <c r="L17" i="11"/>
  <c r="L18" i="11"/>
  <c r="L19" i="11"/>
  <c r="L20" i="11"/>
  <c r="L21" i="11"/>
  <c r="L22" i="11"/>
  <c r="L23" i="11"/>
  <c r="L24" i="11"/>
  <c r="B25" i="11"/>
  <c r="D25" i="11"/>
  <c r="K25" i="11"/>
  <c r="H25" i="11"/>
  <c r="I25" i="11"/>
  <c r="E25" i="11"/>
  <c r="F25" i="11"/>
  <c r="L25" i="11"/>
  <c r="L26" i="11"/>
  <c r="L15" i="11"/>
  <c r="L3" i="11"/>
  <c r="L4" i="11"/>
  <c r="L5" i="11"/>
  <c r="L6" i="11"/>
  <c r="L7" i="11"/>
  <c r="L8" i="11"/>
  <c r="L9" i="11"/>
  <c r="L10" i="11"/>
  <c r="L11" i="11"/>
  <c r="H12" i="11"/>
  <c r="I12" i="11"/>
  <c r="K12" i="11"/>
  <c r="L12" i="11"/>
  <c r="L13" i="11"/>
  <c r="L2" i="11"/>
  <c r="E38" i="11"/>
  <c r="H38" i="11"/>
  <c r="C25" i="11"/>
  <c r="G25" i="11"/>
  <c r="J25" i="11"/>
  <c r="C12" i="11"/>
  <c r="D12" i="11"/>
  <c r="E12" i="11"/>
  <c r="F12" i="11"/>
  <c r="G12" i="11"/>
  <c r="J12" i="11"/>
  <c r="B12" i="11"/>
  <c r="H12" i="5"/>
  <c r="E12" i="4"/>
  <c r="D12" i="4"/>
  <c r="B12" i="1"/>
</calcChain>
</file>

<file path=xl/sharedStrings.xml><?xml version="1.0" encoding="utf-8"?>
<sst xmlns="http://schemas.openxmlformats.org/spreadsheetml/2006/main" count="141" uniqueCount="44">
  <si>
    <t>Option</t>
  </si>
  <si>
    <t>Option 1 – Bonus 8x10 – Ramp Spiral #1</t>
  </si>
  <si>
    <t>Option 3 – Bonus 8x10  – Downtown Minneapolis #1</t>
  </si>
  <si>
    <t>Option 2 – Bonus 8x10  – Grain Belt Beer</t>
  </si>
  <si>
    <t>Option 7 – Bonus 8x10  – Downtown Minneapolis #3</t>
  </si>
  <si>
    <t>Options</t>
  </si>
  <si>
    <t>8x10</t>
  </si>
  <si>
    <t>11x14</t>
  </si>
  <si>
    <t>Option 5 – Bonus 8x10  – Downtown Saint Paul</t>
  </si>
  <si>
    <t>Option 6 – Bonus 8x10  – Downtown Minneapolis #2</t>
  </si>
  <si>
    <t>Option 8 – Bonus 8x10  – Target HQ</t>
  </si>
  <si>
    <t>Option 2 – 12x18 – Grain Belt Beer</t>
  </si>
  <si>
    <t>Option 3 – 12x18 – Downtown Minneapolis #1</t>
  </si>
  <si>
    <t>Option 7 – 12x18 – Downtown Minneapolis #3</t>
  </si>
  <si>
    <t>Option 6 – 12x18 – Downtown Minneapolis #2</t>
  </si>
  <si>
    <t>12x18</t>
  </si>
  <si>
    <t>Option 2 – 8x10  – Grain Belt Beer</t>
  </si>
  <si>
    <t>Option 4 – 8x10  – Minneapolis from Loring Park</t>
  </si>
  <si>
    <t>Option 3 – 8x10  – Downtown Minneapolis #1</t>
  </si>
  <si>
    <t>Option 7 – 8x10  – Downtown Minneapolis #3</t>
  </si>
  <si>
    <t>Option 6 – 8x10  – Downtown Minneapolis #2</t>
  </si>
  <si>
    <t>Option 5 – 8x10  – Downtown Saint Paul</t>
  </si>
  <si>
    <t>Option 1 – 8x10 – Ramp Spiral #1</t>
  </si>
  <si>
    <t>Option 9 – 8x10  – Loring Park</t>
  </si>
  <si>
    <t>Option 9 – Bonus 8x10  – Loring Park</t>
  </si>
  <si>
    <t>Option 1 – 11x14 – Ramp Spiral #1</t>
  </si>
  <si>
    <t>Option 3 – 11x14 – Downtown Minneapolis #1</t>
  </si>
  <si>
    <t>Option 6 – 11x14 – Downtown Minneapolis #2</t>
  </si>
  <si>
    <t>Option 7 – 11x14 – Downtown Minneapolis #3</t>
  </si>
  <si>
    <t>Option 2 – 11x14 – Grain Belt Beer</t>
  </si>
  <si>
    <t>Option 8 – 11x14 – Target HQ</t>
  </si>
  <si>
    <t>Wrap</t>
  </si>
  <si>
    <t>8x10 Options</t>
  </si>
  <si>
    <t>11x14 Options</t>
  </si>
  <si>
    <t>12x18 Options</t>
  </si>
  <si>
    <t>Totals</t>
  </si>
  <si>
    <t>Check</t>
  </si>
  <si>
    <t># of 8x10's to Print</t>
  </si>
  <si>
    <t># of 11x14's to Print</t>
  </si>
  <si>
    <t># of 12x18's to Print</t>
  </si>
  <si>
    <t># of Canvas Wraps</t>
  </si>
  <si>
    <t>Canvas Wrap</t>
  </si>
  <si>
    <t>Print Popularity</t>
  </si>
  <si>
    <t>% of all prints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</si>
</sst>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0" xfId="0" applyFill="1"/>
    <xf numFmtId="0" fontId="0" fillId="2" borderId="1" xfId="0" applyFill="1" applyBorder="1"/>
    <xf numFmtId="6" fontId="0" fillId="2" borderId="1" xfId="0" applyNumberFormat="1" applyFill="1" applyBorder="1"/>
    <xf numFmtId="0" fontId="0" fillId="0" borderId="1" xfId="0" applyBorder="1"/>
    <xf numFmtId="0" fontId="0" fillId="2" borderId="1" xfId="0" applyFill="1" applyBorder="1" applyAlignment="1">
      <alignment horizontal="right"/>
    </xf>
    <xf numFmtId="0" fontId="0" fillId="0" borderId="1" xfId="0" applyFill="1" applyBorder="1"/>
    <xf numFmtId="0" fontId="0" fillId="2" borderId="0" xfId="0" applyFill="1" applyBorder="1" applyAlignment="1">
      <alignment horizontal="right"/>
    </xf>
    <xf numFmtId="0" fontId="0" fillId="0" borderId="0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tabSelected="1" workbookViewId="0">
      <selection activeCell="L5" sqref="L5"/>
    </sheetView>
  </sheetViews>
  <sheetFormatPr defaultRowHeight="15" x14ac:dyDescent="0.25"/>
  <cols>
    <col min="1" max="1" width="13.5703125" style="1" bestFit="1" customWidth="1"/>
    <col min="2" max="7" width="4.7109375" bestFit="1" customWidth="1"/>
    <col min="8" max="11" width="5.7109375" bestFit="1" customWidth="1"/>
    <col min="12" max="12" width="18.28515625" bestFit="1" customWidth="1"/>
    <col min="16" max="16" width="15" bestFit="1" customWidth="1"/>
    <col min="17" max="17" width="13.140625" bestFit="1" customWidth="1"/>
  </cols>
  <sheetData>
    <row r="1" spans="1:17" s="1" customFormat="1" x14ac:dyDescent="0.25">
      <c r="A1" s="3" t="s">
        <v>32</v>
      </c>
      <c r="B1" s="4">
        <v>20</v>
      </c>
      <c r="C1" s="4">
        <v>30</v>
      </c>
      <c r="D1" s="4">
        <v>35</v>
      </c>
      <c r="E1" s="4">
        <v>40</v>
      </c>
      <c r="F1" s="4">
        <v>45</v>
      </c>
      <c r="G1" s="4">
        <v>70</v>
      </c>
      <c r="H1" s="4">
        <v>125</v>
      </c>
      <c r="I1" s="4">
        <v>250</v>
      </c>
      <c r="J1" s="4">
        <v>325</v>
      </c>
      <c r="K1" s="4">
        <v>350</v>
      </c>
      <c r="L1" s="3" t="s">
        <v>37</v>
      </c>
      <c r="O1" s="1" t="s">
        <v>0</v>
      </c>
      <c r="P1" s="1" t="s">
        <v>42</v>
      </c>
      <c r="Q1" s="1" t="s">
        <v>43</v>
      </c>
    </row>
    <row r="2" spans="1:17" x14ac:dyDescent="0.25">
      <c r="A2" s="3">
        <v>1</v>
      </c>
      <c r="B2" s="5">
        <v>2</v>
      </c>
      <c r="C2" s="5">
        <v>0</v>
      </c>
      <c r="D2" s="5">
        <v>3</v>
      </c>
      <c r="E2" s="5">
        <v>2</v>
      </c>
      <c r="F2" s="5">
        <v>2</v>
      </c>
      <c r="G2" s="5">
        <v>2</v>
      </c>
      <c r="H2" s="5">
        <v>1</v>
      </c>
      <c r="I2" s="5">
        <v>0</v>
      </c>
      <c r="J2" s="5"/>
      <c r="K2" s="5">
        <v>0</v>
      </c>
      <c r="L2" s="5">
        <f>SUM(B2:K2)</f>
        <v>12</v>
      </c>
      <c r="O2">
        <v>1</v>
      </c>
      <c r="P2">
        <f>L2+L15+L28+L41</f>
        <v>16</v>
      </c>
      <c r="Q2" s="10">
        <f>(P2/$P$12)*100</f>
        <v>9.6969696969696972</v>
      </c>
    </row>
    <row r="3" spans="1:17" x14ac:dyDescent="0.25">
      <c r="A3" s="3">
        <v>2</v>
      </c>
      <c r="B3" s="5">
        <v>6</v>
      </c>
      <c r="C3" s="5">
        <v>4</v>
      </c>
      <c r="D3" s="5">
        <v>1</v>
      </c>
      <c r="E3" s="5">
        <v>3</v>
      </c>
      <c r="F3" s="5">
        <v>8</v>
      </c>
      <c r="G3" s="5">
        <v>1</v>
      </c>
      <c r="H3" s="5">
        <v>1</v>
      </c>
      <c r="I3" s="5">
        <v>0</v>
      </c>
      <c r="J3" s="5"/>
      <c r="K3" s="5">
        <v>0</v>
      </c>
      <c r="L3" s="5">
        <f t="shared" ref="L3:L13" si="0">SUM(B3:K3)</f>
        <v>24</v>
      </c>
      <c r="O3">
        <v>2</v>
      </c>
      <c r="P3">
        <f>L3+L16+L29+L42</f>
        <v>41</v>
      </c>
      <c r="Q3" s="10">
        <f t="shared" ref="Q3:Q11" si="1">(P3/$P$12)*100</f>
        <v>24.848484848484848</v>
      </c>
    </row>
    <row r="4" spans="1:17" x14ac:dyDescent="0.25">
      <c r="A4" s="3">
        <v>3</v>
      </c>
      <c r="B4" s="5">
        <v>5</v>
      </c>
      <c r="C4" s="5">
        <v>2</v>
      </c>
      <c r="D4" s="5">
        <v>2</v>
      </c>
      <c r="E4" s="5">
        <v>1</v>
      </c>
      <c r="F4" s="5">
        <v>7</v>
      </c>
      <c r="G4" s="5">
        <v>3</v>
      </c>
      <c r="H4" s="5">
        <v>0</v>
      </c>
      <c r="I4" s="5">
        <v>0</v>
      </c>
      <c r="J4" s="5"/>
      <c r="K4" s="5">
        <v>0</v>
      </c>
      <c r="L4" s="5">
        <f t="shared" si="0"/>
        <v>20</v>
      </c>
      <c r="O4">
        <v>3</v>
      </c>
      <c r="P4">
        <f t="shared" ref="P4:P11" si="2">L4+L17+L30+L43</f>
        <v>27</v>
      </c>
      <c r="Q4" s="10">
        <f t="shared" si="1"/>
        <v>16.363636363636363</v>
      </c>
    </row>
    <row r="5" spans="1:17" x14ac:dyDescent="0.25">
      <c r="A5" s="3">
        <v>4</v>
      </c>
      <c r="B5" s="5">
        <v>3</v>
      </c>
      <c r="C5" s="5">
        <v>0</v>
      </c>
      <c r="D5" s="5">
        <v>0</v>
      </c>
      <c r="E5" s="5">
        <v>0</v>
      </c>
      <c r="F5" s="5">
        <v>4</v>
      </c>
      <c r="G5" s="5">
        <v>0</v>
      </c>
      <c r="H5" s="5">
        <v>0</v>
      </c>
      <c r="I5" s="5">
        <v>1</v>
      </c>
      <c r="J5" s="5"/>
      <c r="K5" s="5">
        <v>0</v>
      </c>
      <c r="L5" s="5">
        <f t="shared" si="0"/>
        <v>8</v>
      </c>
      <c r="O5">
        <v>4</v>
      </c>
      <c r="P5">
        <f t="shared" si="2"/>
        <v>8</v>
      </c>
      <c r="Q5" s="10">
        <f t="shared" si="1"/>
        <v>4.8484848484848486</v>
      </c>
    </row>
    <row r="6" spans="1:17" x14ac:dyDescent="0.25">
      <c r="A6" s="3">
        <v>5</v>
      </c>
      <c r="B6" s="5">
        <v>2</v>
      </c>
      <c r="C6" s="5">
        <v>0</v>
      </c>
      <c r="D6" s="5">
        <v>0</v>
      </c>
      <c r="E6" s="5">
        <v>2</v>
      </c>
      <c r="F6" s="5">
        <v>1</v>
      </c>
      <c r="G6" s="5">
        <v>0</v>
      </c>
      <c r="H6" s="5">
        <v>0</v>
      </c>
      <c r="I6" s="5">
        <v>1</v>
      </c>
      <c r="J6" s="5"/>
      <c r="K6" s="5">
        <v>0</v>
      </c>
      <c r="L6" s="5">
        <f t="shared" si="0"/>
        <v>6</v>
      </c>
      <c r="O6">
        <v>5</v>
      </c>
      <c r="P6">
        <f t="shared" si="2"/>
        <v>6</v>
      </c>
      <c r="Q6" s="10">
        <f t="shared" si="1"/>
        <v>3.6363636363636362</v>
      </c>
    </row>
    <row r="7" spans="1:17" x14ac:dyDescent="0.25">
      <c r="A7" s="3">
        <v>6</v>
      </c>
      <c r="B7" s="5">
        <v>1</v>
      </c>
      <c r="C7" s="5">
        <v>1</v>
      </c>
      <c r="D7" s="5">
        <v>0</v>
      </c>
      <c r="E7" s="5">
        <v>2</v>
      </c>
      <c r="F7" s="5">
        <v>4</v>
      </c>
      <c r="G7" s="5">
        <v>0</v>
      </c>
      <c r="H7" s="5">
        <v>0</v>
      </c>
      <c r="I7" s="5">
        <v>0</v>
      </c>
      <c r="J7" s="5"/>
      <c r="K7" s="5">
        <v>0</v>
      </c>
      <c r="L7" s="5">
        <f t="shared" si="0"/>
        <v>8</v>
      </c>
      <c r="O7">
        <v>6</v>
      </c>
      <c r="P7">
        <f t="shared" si="2"/>
        <v>16</v>
      </c>
      <c r="Q7" s="10">
        <f t="shared" si="1"/>
        <v>9.6969696969696972</v>
      </c>
    </row>
    <row r="8" spans="1:17" x14ac:dyDescent="0.25">
      <c r="A8" s="3">
        <v>7</v>
      </c>
      <c r="B8" s="5">
        <v>6</v>
      </c>
      <c r="C8" s="5">
        <v>1</v>
      </c>
      <c r="D8" s="5">
        <v>1</v>
      </c>
      <c r="E8" s="5">
        <v>3</v>
      </c>
      <c r="F8" s="5">
        <v>7</v>
      </c>
      <c r="G8" s="5">
        <v>0</v>
      </c>
      <c r="H8" s="5">
        <v>0</v>
      </c>
      <c r="I8" s="5">
        <v>0</v>
      </c>
      <c r="J8" s="5"/>
      <c r="K8" s="5">
        <v>1</v>
      </c>
      <c r="L8" s="5">
        <f t="shared" si="0"/>
        <v>19</v>
      </c>
      <c r="O8">
        <v>7</v>
      </c>
      <c r="P8">
        <f t="shared" si="2"/>
        <v>33</v>
      </c>
      <c r="Q8" s="10">
        <f t="shared" si="1"/>
        <v>20</v>
      </c>
    </row>
    <row r="9" spans="1:17" x14ac:dyDescent="0.25">
      <c r="A9" s="3">
        <v>8</v>
      </c>
      <c r="B9" s="5">
        <v>1</v>
      </c>
      <c r="C9" s="5">
        <v>1</v>
      </c>
      <c r="D9" s="5">
        <v>0</v>
      </c>
      <c r="E9" s="5">
        <v>1</v>
      </c>
      <c r="F9" s="5">
        <v>1</v>
      </c>
      <c r="G9" s="5">
        <v>1</v>
      </c>
      <c r="H9" s="5">
        <v>1</v>
      </c>
      <c r="I9" s="5">
        <v>0</v>
      </c>
      <c r="J9" s="5"/>
      <c r="K9" s="5">
        <v>0</v>
      </c>
      <c r="L9" s="5">
        <f t="shared" si="0"/>
        <v>6</v>
      </c>
      <c r="O9">
        <v>8</v>
      </c>
      <c r="P9">
        <f t="shared" si="2"/>
        <v>10</v>
      </c>
      <c r="Q9" s="10">
        <f t="shared" si="1"/>
        <v>6.0606060606060606</v>
      </c>
    </row>
    <row r="10" spans="1:17" x14ac:dyDescent="0.25">
      <c r="A10" s="3">
        <v>9</v>
      </c>
      <c r="B10" s="5">
        <v>1</v>
      </c>
      <c r="C10" s="5">
        <v>0</v>
      </c>
      <c r="D10" s="5">
        <v>0</v>
      </c>
      <c r="E10" s="5">
        <v>0</v>
      </c>
      <c r="F10" s="5">
        <v>2</v>
      </c>
      <c r="G10" s="5">
        <v>2</v>
      </c>
      <c r="H10" s="5">
        <v>0</v>
      </c>
      <c r="I10" s="5">
        <v>0</v>
      </c>
      <c r="J10" s="5"/>
      <c r="K10" s="5">
        <v>0</v>
      </c>
      <c r="L10" s="5">
        <f t="shared" si="0"/>
        <v>5</v>
      </c>
      <c r="O10">
        <v>9</v>
      </c>
      <c r="P10">
        <f t="shared" si="2"/>
        <v>6</v>
      </c>
      <c r="Q10" s="10">
        <f t="shared" si="1"/>
        <v>3.6363636363636362</v>
      </c>
    </row>
    <row r="11" spans="1:17" x14ac:dyDescent="0.25">
      <c r="A11" s="3">
        <v>10</v>
      </c>
      <c r="B11" s="5">
        <v>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/>
      <c r="K11" s="5">
        <v>0</v>
      </c>
      <c r="L11" s="5">
        <f t="shared" si="0"/>
        <v>1</v>
      </c>
      <c r="O11">
        <v>10</v>
      </c>
      <c r="P11">
        <f t="shared" si="2"/>
        <v>2</v>
      </c>
      <c r="Q11" s="10">
        <f t="shared" si="1"/>
        <v>1.2121212121212122</v>
      </c>
    </row>
    <row r="12" spans="1:17" s="2" customFormat="1" x14ac:dyDescent="0.25">
      <c r="A12" s="6" t="s">
        <v>35</v>
      </c>
      <c r="B12" s="7">
        <f>SUM(B2:B11)</f>
        <v>28</v>
      </c>
      <c r="C12" s="7">
        <f t="shared" ref="C12:K12" si="3">SUM(C2:C11)</f>
        <v>9</v>
      </c>
      <c r="D12" s="7">
        <f t="shared" si="3"/>
        <v>7</v>
      </c>
      <c r="E12" s="7">
        <f t="shared" si="3"/>
        <v>14</v>
      </c>
      <c r="F12" s="7">
        <f t="shared" si="3"/>
        <v>36</v>
      </c>
      <c r="G12" s="7">
        <f t="shared" si="3"/>
        <v>9</v>
      </c>
      <c r="H12" s="7">
        <f t="shared" si="3"/>
        <v>3</v>
      </c>
      <c r="I12" s="7">
        <f t="shared" si="3"/>
        <v>2</v>
      </c>
      <c r="J12" s="7">
        <f t="shared" si="3"/>
        <v>0</v>
      </c>
      <c r="K12" s="7">
        <f t="shared" si="3"/>
        <v>1</v>
      </c>
      <c r="L12" s="5">
        <f t="shared" si="0"/>
        <v>109</v>
      </c>
      <c r="P12" s="2">
        <f>SUM(P2:P11)</f>
        <v>165</v>
      </c>
      <c r="Q12" s="2">
        <f>SUM(Q2:Q11)</f>
        <v>100.00000000000001</v>
      </c>
    </row>
    <row r="13" spans="1:17" s="2" customFormat="1" x14ac:dyDescent="0.25">
      <c r="A13" s="6" t="s">
        <v>36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5">
        <f t="shared" si="0"/>
        <v>0</v>
      </c>
    </row>
    <row r="14" spans="1:17" s="1" customFormat="1" x14ac:dyDescent="0.25">
      <c r="A14" s="3" t="s">
        <v>33</v>
      </c>
      <c r="B14" s="4">
        <v>20</v>
      </c>
      <c r="C14" s="4">
        <v>30</v>
      </c>
      <c r="D14" s="4">
        <v>35</v>
      </c>
      <c r="E14" s="4">
        <v>40</v>
      </c>
      <c r="F14" s="4">
        <v>45</v>
      </c>
      <c r="G14" s="4">
        <v>70</v>
      </c>
      <c r="H14" s="4">
        <v>125</v>
      </c>
      <c r="I14" s="4">
        <v>250</v>
      </c>
      <c r="J14" s="4">
        <v>325</v>
      </c>
      <c r="K14" s="4">
        <v>350</v>
      </c>
      <c r="L14" s="3" t="s">
        <v>38</v>
      </c>
    </row>
    <row r="15" spans="1:17" x14ac:dyDescent="0.25">
      <c r="A15" s="3">
        <v>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3</v>
      </c>
      <c r="H15" s="5">
        <v>0</v>
      </c>
      <c r="I15" s="5">
        <v>1</v>
      </c>
      <c r="J15" s="5"/>
      <c r="K15" s="5">
        <v>0</v>
      </c>
      <c r="L15" s="5">
        <f>SUM(B15:K15)</f>
        <v>4</v>
      </c>
    </row>
    <row r="16" spans="1:17" x14ac:dyDescent="0.25">
      <c r="A16" s="3">
        <v>2</v>
      </c>
      <c r="B16" s="5">
        <v>0</v>
      </c>
      <c r="C16" s="5">
        <v>3</v>
      </c>
      <c r="D16" s="5">
        <v>0</v>
      </c>
      <c r="E16" s="5">
        <v>0</v>
      </c>
      <c r="F16" s="5">
        <v>0</v>
      </c>
      <c r="G16" s="5">
        <v>6</v>
      </c>
      <c r="H16" s="5">
        <v>0</v>
      </c>
      <c r="I16" s="5">
        <v>1</v>
      </c>
      <c r="J16" s="5"/>
      <c r="K16" s="5">
        <v>0</v>
      </c>
      <c r="L16" s="5">
        <f t="shared" ref="L16:L26" si="4">SUM(B16:K16)</f>
        <v>10</v>
      </c>
    </row>
    <row r="17" spans="1:12" x14ac:dyDescent="0.25">
      <c r="A17" s="3">
        <v>3</v>
      </c>
      <c r="B17" s="5">
        <v>0</v>
      </c>
      <c r="C17" s="5">
        <v>2</v>
      </c>
      <c r="D17" s="5">
        <v>0</v>
      </c>
      <c r="E17" s="5">
        <v>0</v>
      </c>
      <c r="F17" s="5">
        <v>0</v>
      </c>
      <c r="G17" s="5">
        <v>2</v>
      </c>
      <c r="H17" s="5">
        <v>0</v>
      </c>
      <c r="I17" s="5">
        <v>1</v>
      </c>
      <c r="J17" s="5"/>
      <c r="K17" s="5">
        <v>0</v>
      </c>
      <c r="L17" s="5">
        <f t="shared" si="4"/>
        <v>5</v>
      </c>
    </row>
    <row r="18" spans="1:12" x14ac:dyDescent="0.25">
      <c r="A18" s="3">
        <v>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f t="shared" si="4"/>
        <v>0</v>
      </c>
    </row>
    <row r="19" spans="1:12" x14ac:dyDescent="0.25">
      <c r="A19" s="3">
        <v>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f t="shared" si="4"/>
        <v>0</v>
      </c>
    </row>
    <row r="20" spans="1:12" x14ac:dyDescent="0.25">
      <c r="A20" s="3">
        <v>6</v>
      </c>
      <c r="B20" s="5">
        <v>0</v>
      </c>
      <c r="C20" s="5">
        <v>4</v>
      </c>
      <c r="D20" s="5">
        <v>0</v>
      </c>
      <c r="E20" s="5">
        <v>0</v>
      </c>
      <c r="F20" s="5">
        <v>0</v>
      </c>
      <c r="G20" s="5">
        <v>1</v>
      </c>
      <c r="H20" s="5">
        <v>0</v>
      </c>
      <c r="I20" s="5">
        <v>1</v>
      </c>
      <c r="J20" s="5"/>
      <c r="K20" s="5">
        <v>0</v>
      </c>
      <c r="L20" s="5">
        <f t="shared" si="4"/>
        <v>6</v>
      </c>
    </row>
    <row r="21" spans="1:12" x14ac:dyDescent="0.25">
      <c r="A21" s="3">
        <v>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6</v>
      </c>
      <c r="H21" s="5">
        <v>0</v>
      </c>
      <c r="I21" s="5">
        <v>0</v>
      </c>
      <c r="J21" s="5"/>
      <c r="K21" s="5">
        <v>0</v>
      </c>
      <c r="L21" s="5">
        <f t="shared" si="4"/>
        <v>6</v>
      </c>
    </row>
    <row r="22" spans="1:12" x14ac:dyDescent="0.25">
      <c r="A22" s="3">
        <v>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3</v>
      </c>
      <c r="H22" s="5">
        <v>0</v>
      </c>
      <c r="I22" s="5">
        <v>0</v>
      </c>
      <c r="J22" s="5"/>
      <c r="K22" s="5">
        <v>0</v>
      </c>
      <c r="L22" s="5">
        <f t="shared" si="4"/>
        <v>3</v>
      </c>
    </row>
    <row r="23" spans="1:12" x14ac:dyDescent="0.25">
      <c r="A23" s="3">
        <v>9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1</v>
      </c>
      <c r="J23" s="5"/>
      <c r="K23" s="5">
        <v>0</v>
      </c>
      <c r="L23" s="5">
        <f t="shared" si="4"/>
        <v>1</v>
      </c>
    </row>
    <row r="24" spans="1:12" x14ac:dyDescent="0.25">
      <c r="A24" s="3">
        <v>10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1</v>
      </c>
      <c r="J24" s="5"/>
      <c r="K24" s="5">
        <v>0</v>
      </c>
      <c r="L24" s="5">
        <f t="shared" si="4"/>
        <v>1</v>
      </c>
    </row>
    <row r="25" spans="1:12" x14ac:dyDescent="0.25">
      <c r="A25" s="6" t="s">
        <v>35</v>
      </c>
      <c r="B25" s="5">
        <f>SUM(B15:B24)</f>
        <v>0</v>
      </c>
      <c r="C25" s="5">
        <f t="shared" ref="C25:K25" si="5">SUM(C15:C24)</f>
        <v>9</v>
      </c>
      <c r="D25" s="5">
        <f t="shared" si="5"/>
        <v>0</v>
      </c>
      <c r="E25" s="5">
        <f t="shared" si="5"/>
        <v>0</v>
      </c>
      <c r="F25" s="5">
        <f t="shared" si="5"/>
        <v>0</v>
      </c>
      <c r="G25" s="5">
        <f t="shared" si="5"/>
        <v>21</v>
      </c>
      <c r="H25" s="5">
        <f t="shared" si="5"/>
        <v>0</v>
      </c>
      <c r="I25" s="5">
        <f t="shared" si="5"/>
        <v>6</v>
      </c>
      <c r="J25" s="5">
        <f t="shared" si="5"/>
        <v>0</v>
      </c>
      <c r="K25" s="5">
        <f t="shared" si="5"/>
        <v>0</v>
      </c>
      <c r="L25" s="5">
        <f t="shared" si="4"/>
        <v>36</v>
      </c>
    </row>
    <row r="26" spans="1:12" x14ac:dyDescent="0.25">
      <c r="A26" s="6" t="s">
        <v>36</v>
      </c>
      <c r="B26" s="5">
        <v>0</v>
      </c>
      <c r="C26" s="5"/>
      <c r="D26" s="5">
        <v>0</v>
      </c>
      <c r="E26" s="5">
        <v>0</v>
      </c>
      <c r="F26" s="5">
        <v>0</v>
      </c>
      <c r="G26" s="5"/>
      <c r="H26" s="5">
        <v>0</v>
      </c>
      <c r="I26" s="5"/>
      <c r="J26" s="5"/>
      <c r="K26" s="5">
        <v>0</v>
      </c>
      <c r="L26" s="5">
        <f t="shared" si="4"/>
        <v>0</v>
      </c>
    </row>
    <row r="27" spans="1:12" s="1" customFormat="1" x14ac:dyDescent="0.25">
      <c r="A27" s="3" t="s">
        <v>34</v>
      </c>
      <c r="B27" s="4">
        <v>20</v>
      </c>
      <c r="C27" s="4">
        <v>30</v>
      </c>
      <c r="D27" s="4">
        <v>35</v>
      </c>
      <c r="E27" s="4">
        <v>40</v>
      </c>
      <c r="F27" s="4">
        <v>45</v>
      </c>
      <c r="G27" s="4">
        <v>70</v>
      </c>
      <c r="H27" s="4">
        <v>125</v>
      </c>
      <c r="I27" s="4">
        <v>250</v>
      </c>
      <c r="J27" s="4">
        <v>325</v>
      </c>
      <c r="K27" s="4">
        <v>350</v>
      </c>
      <c r="L27" s="3" t="s">
        <v>39</v>
      </c>
    </row>
    <row r="28" spans="1:12" x14ac:dyDescent="0.25">
      <c r="A28" s="3">
        <v>1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/>
      <c r="I28" s="5">
        <v>0</v>
      </c>
      <c r="J28" s="5">
        <v>0</v>
      </c>
      <c r="K28" s="5">
        <v>0</v>
      </c>
      <c r="L28" s="5">
        <f>SUM(B28:K28)</f>
        <v>0</v>
      </c>
    </row>
    <row r="29" spans="1:12" x14ac:dyDescent="0.25">
      <c r="A29" s="3">
        <v>2</v>
      </c>
      <c r="B29" s="5">
        <v>0</v>
      </c>
      <c r="C29" s="5">
        <v>0</v>
      </c>
      <c r="D29" s="5">
        <v>0</v>
      </c>
      <c r="E29" s="5">
        <v>6</v>
      </c>
      <c r="F29" s="5">
        <v>0</v>
      </c>
      <c r="G29" s="5">
        <v>0</v>
      </c>
      <c r="H29" s="5"/>
      <c r="I29" s="5">
        <v>0</v>
      </c>
      <c r="J29" s="5">
        <v>0</v>
      </c>
      <c r="K29" s="5">
        <v>1</v>
      </c>
      <c r="L29" s="5">
        <f t="shared" ref="L29:L39" si="6">SUM(B29:K29)</f>
        <v>7</v>
      </c>
    </row>
    <row r="30" spans="1:12" x14ac:dyDescent="0.25">
      <c r="A30" s="3">
        <v>3</v>
      </c>
      <c r="B30" s="5">
        <v>0</v>
      </c>
      <c r="C30" s="5">
        <v>0</v>
      </c>
      <c r="D30" s="5">
        <v>0</v>
      </c>
      <c r="E30" s="5">
        <v>1</v>
      </c>
      <c r="F30" s="5">
        <v>0</v>
      </c>
      <c r="G30" s="5">
        <v>0</v>
      </c>
      <c r="H30" s="5"/>
      <c r="I30" s="5">
        <v>0</v>
      </c>
      <c r="J30" s="5">
        <v>0</v>
      </c>
      <c r="K30" s="5">
        <v>1</v>
      </c>
      <c r="L30" s="5">
        <f t="shared" si="6"/>
        <v>2</v>
      </c>
    </row>
    <row r="31" spans="1:12" x14ac:dyDescent="0.25">
      <c r="A31" s="3">
        <v>4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/>
      <c r="I31" s="5">
        <v>0</v>
      </c>
      <c r="J31" s="5">
        <v>0</v>
      </c>
      <c r="K31" s="5">
        <v>0</v>
      </c>
      <c r="L31" s="5">
        <f t="shared" si="6"/>
        <v>0</v>
      </c>
    </row>
    <row r="32" spans="1:12" x14ac:dyDescent="0.25">
      <c r="A32" s="3">
        <v>5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/>
      <c r="I32" s="5">
        <v>0</v>
      </c>
      <c r="J32" s="5">
        <v>0</v>
      </c>
      <c r="K32" s="5">
        <v>0</v>
      </c>
      <c r="L32" s="5">
        <f t="shared" si="6"/>
        <v>0</v>
      </c>
    </row>
    <row r="33" spans="1:12" x14ac:dyDescent="0.25">
      <c r="A33" s="3">
        <v>6</v>
      </c>
      <c r="B33" s="5">
        <v>0</v>
      </c>
      <c r="C33" s="5">
        <v>0</v>
      </c>
      <c r="D33" s="5">
        <v>0</v>
      </c>
      <c r="E33" s="5">
        <v>2</v>
      </c>
      <c r="F33" s="5">
        <v>0</v>
      </c>
      <c r="G33" s="5">
        <v>0</v>
      </c>
      <c r="H33" s="5"/>
      <c r="I33" s="5">
        <v>0</v>
      </c>
      <c r="J33" s="5">
        <v>0</v>
      </c>
      <c r="K33" s="5">
        <v>0</v>
      </c>
      <c r="L33" s="5">
        <f t="shared" si="6"/>
        <v>2</v>
      </c>
    </row>
    <row r="34" spans="1:12" x14ac:dyDescent="0.25">
      <c r="A34" s="3">
        <v>7</v>
      </c>
      <c r="B34" s="5">
        <v>0</v>
      </c>
      <c r="C34" s="5">
        <v>0</v>
      </c>
      <c r="D34" s="5">
        <v>0</v>
      </c>
      <c r="E34" s="5">
        <v>5</v>
      </c>
      <c r="F34" s="5">
        <v>0</v>
      </c>
      <c r="G34" s="5">
        <v>0</v>
      </c>
      <c r="H34" s="5"/>
      <c r="I34" s="5">
        <v>0</v>
      </c>
      <c r="J34" s="5">
        <v>0</v>
      </c>
      <c r="K34" s="5">
        <v>0</v>
      </c>
      <c r="L34" s="5">
        <f t="shared" si="6"/>
        <v>5</v>
      </c>
    </row>
    <row r="35" spans="1:12" x14ac:dyDescent="0.25">
      <c r="A35" s="3">
        <v>8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/>
      <c r="I35" s="5">
        <v>0</v>
      </c>
      <c r="J35" s="5">
        <v>0</v>
      </c>
      <c r="K35" s="5">
        <v>1</v>
      </c>
      <c r="L35" s="5">
        <f t="shared" si="6"/>
        <v>1</v>
      </c>
    </row>
    <row r="36" spans="1:12" x14ac:dyDescent="0.25">
      <c r="A36" s="3">
        <v>9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/>
      <c r="I36" s="5">
        <v>0</v>
      </c>
      <c r="J36" s="5">
        <v>0</v>
      </c>
      <c r="K36" s="5">
        <v>0</v>
      </c>
      <c r="L36" s="5">
        <f t="shared" si="6"/>
        <v>0</v>
      </c>
    </row>
    <row r="37" spans="1:12" x14ac:dyDescent="0.25">
      <c r="A37" s="3">
        <v>10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/>
      <c r="I37" s="5">
        <v>0</v>
      </c>
      <c r="J37" s="5">
        <v>0</v>
      </c>
      <c r="K37" s="5">
        <v>0</v>
      </c>
      <c r="L37" s="5">
        <f t="shared" si="6"/>
        <v>0</v>
      </c>
    </row>
    <row r="38" spans="1:12" x14ac:dyDescent="0.25">
      <c r="A38" s="6" t="s">
        <v>35</v>
      </c>
      <c r="B38" s="5">
        <f>SUM(B28:B37)</f>
        <v>0</v>
      </c>
      <c r="C38" s="5">
        <f t="shared" ref="C38:K38" si="7">SUM(C28:C37)</f>
        <v>0</v>
      </c>
      <c r="D38" s="5">
        <f t="shared" si="7"/>
        <v>0</v>
      </c>
      <c r="E38" s="5">
        <f t="shared" si="7"/>
        <v>14</v>
      </c>
      <c r="F38" s="5">
        <f t="shared" si="7"/>
        <v>0</v>
      </c>
      <c r="G38" s="5">
        <f t="shared" si="7"/>
        <v>0</v>
      </c>
      <c r="H38" s="5">
        <f t="shared" si="7"/>
        <v>0</v>
      </c>
      <c r="I38" s="5">
        <f t="shared" si="7"/>
        <v>0</v>
      </c>
      <c r="J38" s="5">
        <f t="shared" si="7"/>
        <v>0</v>
      </c>
      <c r="K38" s="5">
        <f t="shared" si="7"/>
        <v>3</v>
      </c>
      <c r="L38" s="5">
        <f t="shared" si="6"/>
        <v>17</v>
      </c>
    </row>
    <row r="39" spans="1:12" x14ac:dyDescent="0.25">
      <c r="A39" s="6" t="s">
        <v>36</v>
      </c>
      <c r="B39" s="5">
        <v>0</v>
      </c>
      <c r="C39" s="5">
        <v>0</v>
      </c>
      <c r="D39" s="5">
        <v>0</v>
      </c>
      <c r="E39" s="5"/>
      <c r="F39" s="5">
        <v>0</v>
      </c>
      <c r="G39" s="5">
        <v>0</v>
      </c>
      <c r="H39" s="5"/>
      <c r="I39" s="5">
        <v>0</v>
      </c>
      <c r="J39" s="5">
        <v>0</v>
      </c>
      <c r="K39" s="5"/>
      <c r="L39" s="5">
        <f t="shared" si="6"/>
        <v>0</v>
      </c>
    </row>
    <row r="40" spans="1:12" s="1" customFormat="1" x14ac:dyDescent="0.25">
      <c r="A40" s="3" t="s">
        <v>41</v>
      </c>
      <c r="B40" s="4">
        <v>20</v>
      </c>
      <c r="C40" s="4">
        <v>30</v>
      </c>
      <c r="D40" s="4">
        <v>35</v>
      </c>
      <c r="E40" s="4">
        <v>40</v>
      </c>
      <c r="F40" s="4">
        <v>45</v>
      </c>
      <c r="G40" s="4">
        <v>70</v>
      </c>
      <c r="H40" s="4">
        <v>125</v>
      </c>
      <c r="I40" s="4">
        <v>250</v>
      </c>
      <c r="J40" s="4">
        <v>325</v>
      </c>
      <c r="K40" s="4">
        <v>350</v>
      </c>
      <c r="L40" s="3" t="s">
        <v>40</v>
      </c>
    </row>
    <row r="41" spans="1:12" x14ac:dyDescent="0.25">
      <c r="A41" s="3">
        <v>1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f>SUM(B41:K41)</f>
        <v>0</v>
      </c>
    </row>
    <row r="42" spans="1:12" x14ac:dyDescent="0.25">
      <c r="A42" s="3">
        <v>2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f t="shared" ref="L42:L52" si="8">SUM(B42:K42)</f>
        <v>0</v>
      </c>
    </row>
    <row r="43" spans="1:12" x14ac:dyDescent="0.25">
      <c r="A43" s="3">
        <v>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f t="shared" si="8"/>
        <v>0</v>
      </c>
    </row>
    <row r="44" spans="1:12" x14ac:dyDescent="0.25">
      <c r="A44" s="3">
        <v>4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f t="shared" si="8"/>
        <v>0</v>
      </c>
    </row>
    <row r="45" spans="1:12" x14ac:dyDescent="0.25">
      <c r="A45" s="3">
        <v>5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f t="shared" si="8"/>
        <v>0</v>
      </c>
    </row>
    <row r="46" spans="1:12" x14ac:dyDescent="0.25">
      <c r="A46" s="3">
        <v>6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f t="shared" si="8"/>
        <v>0</v>
      </c>
    </row>
    <row r="47" spans="1:12" x14ac:dyDescent="0.25">
      <c r="A47" s="3">
        <v>7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3</v>
      </c>
      <c r="I47" s="5">
        <v>0</v>
      </c>
      <c r="J47" s="5">
        <v>0</v>
      </c>
      <c r="K47" s="5">
        <v>0</v>
      </c>
      <c r="L47" s="5">
        <f t="shared" si="8"/>
        <v>3</v>
      </c>
    </row>
    <row r="48" spans="1:12" x14ac:dyDescent="0.25">
      <c r="A48" s="3">
        <v>8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f t="shared" si="8"/>
        <v>0</v>
      </c>
    </row>
    <row r="49" spans="1:12" x14ac:dyDescent="0.25">
      <c r="A49" s="3">
        <v>9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f t="shared" si="8"/>
        <v>0</v>
      </c>
    </row>
    <row r="50" spans="1:12" x14ac:dyDescent="0.25">
      <c r="A50" s="3">
        <v>10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f t="shared" si="8"/>
        <v>0</v>
      </c>
    </row>
    <row r="51" spans="1:12" x14ac:dyDescent="0.25">
      <c r="A51" s="6" t="s">
        <v>35</v>
      </c>
      <c r="B51" s="5">
        <f>SUM(B41:B50)</f>
        <v>0</v>
      </c>
      <c r="C51" s="5">
        <f t="shared" ref="C51:K51" si="9">SUM(C41:C50)</f>
        <v>0</v>
      </c>
      <c r="D51" s="5">
        <f t="shared" si="9"/>
        <v>0</v>
      </c>
      <c r="E51" s="5">
        <f t="shared" si="9"/>
        <v>0</v>
      </c>
      <c r="F51" s="5">
        <f t="shared" si="9"/>
        <v>0</v>
      </c>
      <c r="G51" s="5">
        <f t="shared" si="9"/>
        <v>0</v>
      </c>
      <c r="H51" s="5">
        <f t="shared" si="9"/>
        <v>3</v>
      </c>
      <c r="I51" s="5">
        <f t="shared" si="9"/>
        <v>0</v>
      </c>
      <c r="J51" s="5">
        <f t="shared" si="9"/>
        <v>0</v>
      </c>
      <c r="K51" s="5">
        <f t="shared" si="9"/>
        <v>0</v>
      </c>
      <c r="L51" s="5">
        <f t="shared" si="8"/>
        <v>3</v>
      </c>
    </row>
    <row r="52" spans="1:12" x14ac:dyDescent="0.25">
      <c r="A52" s="6" t="s">
        <v>36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5</v>
      </c>
      <c r="I52" s="5">
        <v>0</v>
      </c>
      <c r="J52" s="5">
        <v>0</v>
      </c>
      <c r="K52" s="5">
        <v>0</v>
      </c>
      <c r="L52" s="5">
        <f t="shared" si="8"/>
        <v>5</v>
      </c>
    </row>
    <row r="53" spans="1:12" x14ac:dyDescent="0.25">
      <c r="A53" s="8"/>
      <c r="B53" s="9"/>
      <c r="C53" s="9"/>
      <c r="D53" s="9"/>
      <c r="E53" s="9"/>
      <c r="F53" s="9"/>
      <c r="G53" s="9"/>
      <c r="H53" s="9"/>
      <c r="I53" s="9"/>
      <c r="J53" s="9"/>
      <c r="K5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2" sqref="B2:B11"/>
    </sheetView>
  </sheetViews>
  <sheetFormatPr defaultRowHeight="15" x14ac:dyDescent="0.25"/>
  <sheetData>
    <row r="1" spans="1:2" x14ac:dyDescent="0.25">
      <c r="A1" t="s">
        <v>5</v>
      </c>
      <c r="B1" t="s">
        <v>6</v>
      </c>
    </row>
    <row r="2" spans="1:2" x14ac:dyDescent="0.25">
      <c r="A2">
        <v>1</v>
      </c>
      <c r="B2">
        <v>2</v>
      </c>
    </row>
    <row r="3" spans="1:2" x14ac:dyDescent="0.25">
      <c r="A3">
        <v>2</v>
      </c>
      <c r="B3">
        <v>6</v>
      </c>
    </row>
    <row r="4" spans="1:2" x14ac:dyDescent="0.25">
      <c r="A4">
        <v>3</v>
      </c>
      <c r="B4">
        <v>5</v>
      </c>
    </row>
    <row r="5" spans="1:2" x14ac:dyDescent="0.25">
      <c r="A5">
        <v>4</v>
      </c>
      <c r="B5">
        <v>3</v>
      </c>
    </row>
    <row r="6" spans="1:2" x14ac:dyDescent="0.25">
      <c r="A6">
        <v>5</v>
      </c>
      <c r="B6">
        <v>2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6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1</v>
      </c>
    </row>
    <row r="11" spans="1:2" x14ac:dyDescent="0.25">
      <c r="A11">
        <v>10</v>
      </c>
      <c r="B11">
        <v>1</v>
      </c>
    </row>
    <row r="12" spans="1:2" x14ac:dyDescent="0.25">
      <c r="B12">
        <f>SUM(B2:B11)</f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2" sqref="C2:C11"/>
    </sheetView>
  </sheetViews>
  <sheetFormatPr defaultRowHeight="15" x14ac:dyDescent="0.25"/>
  <sheetData>
    <row r="1" spans="1:3" x14ac:dyDescent="0.25">
      <c r="A1" t="s">
        <v>5</v>
      </c>
      <c r="B1" t="s">
        <v>6</v>
      </c>
      <c r="C1" t="s">
        <v>7</v>
      </c>
    </row>
    <row r="2" spans="1:3" x14ac:dyDescent="0.25">
      <c r="A2">
        <v>1</v>
      </c>
      <c r="B2">
        <v>0</v>
      </c>
      <c r="C2">
        <v>0</v>
      </c>
    </row>
    <row r="3" spans="1:3" x14ac:dyDescent="0.25">
      <c r="A3">
        <v>2</v>
      </c>
      <c r="B3">
        <v>4</v>
      </c>
      <c r="C3">
        <v>3</v>
      </c>
    </row>
    <row r="4" spans="1:3" x14ac:dyDescent="0.25">
      <c r="A4">
        <v>3</v>
      </c>
      <c r="B4">
        <v>2</v>
      </c>
      <c r="C4">
        <v>2</v>
      </c>
    </row>
    <row r="5" spans="1:3" x14ac:dyDescent="0.25">
      <c r="A5">
        <v>4</v>
      </c>
      <c r="B5">
        <v>0</v>
      </c>
      <c r="C5">
        <v>0</v>
      </c>
    </row>
    <row r="6" spans="1:3" x14ac:dyDescent="0.25">
      <c r="A6">
        <v>5</v>
      </c>
      <c r="B6">
        <v>0</v>
      </c>
      <c r="C6">
        <v>0</v>
      </c>
    </row>
    <row r="7" spans="1:3" x14ac:dyDescent="0.25">
      <c r="A7">
        <v>6</v>
      </c>
      <c r="B7">
        <v>1</v>
      </c>
      <c r="C7">
        <v>4</v>
      </c>
    </row>
    <row r="8" spans="1:3" x14ac:dyDescent="0.25">
      <c r="A8">
        <v>7</v>
      </c>
      <c r="B8">
        <v>1</v>
      </c>
      <c r="C8">
        <v>0</v>
      </c>
    </row>
    <row r="9" spans="1:3" x14ac:dyDescent="0.25">
      <c r="A9">
        <v>8</v>
      </c>
      <c r="B9">
        <v>1</v>
      </c>
      <c r="C9">
        <v>0</v>
      </c>
    </row>
    <row r="10" spans="1:3" x14ac:dyDescent="0.25">
      <c r="A10">
        <v>9</v>
      </c>
      <c r="B10">
        <v>0</v>
      </c>
      <c r="C10">
        <v>0</v>
      </c>
    </row>
    <row r="11" spans="1:3" x14ac:dyDescent="0.25">
      <c r="A11">
        <v>10</v>
      </c>
      <c r="B11">
        <v>0</v>
      </c>
      <c r="C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2" sqref="B2:B1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>
        <v>1</v>
      </c>
      <c r="B2">
        <v>3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2</v>
      </c>
    </row>
    <row r="5" spans="1:2" x14ac:dyDescent="0.25">
      <c r="A5">
        <v>4</v>
      </c>
      <c r="B5">
        <v>0</v>
      </c>
    </row>
    <row r="6" spans="1:2" x14ac:dyDescent="0.25">
      <c r="A6">
        <v>5</v>
      </c>
      <c r="B6">
        <v>0</v>
      </c>
    </row>
    <row r="7" spans="1:2" x14ac:dyDescent="0.25">
      <c r="A7">
        <v>6</v>
      </c>
      <c r="B7">
        <v>0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0</v>
      </c>
    </row>
    <row r="10" spans="1:2" x14ac:dyDescent="0.25">
      <c r="A10">
        <v>9</v>
      </c>
      <c r="B10">
        <v>0</v>
      </c>
    </row>
    <row r="11" spans="1:2" x14ac:dyDescent="0.25">
      <c r="A11">
        <v>10</v>
      </c>
      <c r="B11">
        <v>0</v>
      </c>
    </row>
    <row r="14" spans="1:2" x14ac:dyDescent="0.25">
      <c r="A14" t="s">
        <v>1</v>
      </c>
    </row>
    <row r="15" spans="1:2" x14ac:dyDescent="0.25">
      <c r="A15" t="s">
        <v>1</v>
      </c>
    </row>
    <row r="16" spans="1:2" x14ac:dyDescent="0.25">
      <c r="A16" t="s">
        <v>1</v>
      </c>
    </row>
    <row r="17" spans="1:1" x14ac:dyDescent="0.25">
      <c r="A17" t="s">
        <v>3</v>
      </c>
    </row>
    <row r="18" spans="1:1" x14ac:dyDescent="0.25">
      <c r="A18" t="s">
        <v>2</v>
      </c>
    </row>
    <row r="19" spans="1:1" x14ac:dyDescent="0.25">
      <c r="A19" t="s">
        <v>2</v>
      </c>
    </row>
    <row r="20" spans="1:1" x14ac:dyDescent="0.25">
      <c r="A20" t="s">
        <v>4</v>
      </c>
    </row>
  </sheetData>
  <sortState ref="A14:A20">
    <sortCondition ref="A1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E2" sqref="E2:E11"/>
    </sheetView>
  </sheetViews>
  <sheetFormatPr defaultRowHeight="15" x14ac:dyDescent="0.25"/>
  <cols>
    <col min="1" max="1" width="47.42578125" bestFit="1" customWidth="1"/>
  </cols>
  <sheetData>
    <row r="1" spans="1:5" x14ac:dyDescent="0.25">
      <c r="A1" t="s">
        <v>1</v>
      </c>
      <c r="C1" t="s">
        <v>5</v>
      </c>
      <c r="D1" t="s">
        <v>6</v>
      </c>
      <c r="E1" t="s">
        <v>15</v>
      </c>
    </row>
    <row r="2" spans="1:5" x14ac:dyDescent="0.25">
      <c r="A2" t="s">
        <v>1</v>
      </c>
      <c r="C2">
        <v>1</v>
      </c>
      <c r="D2">
        <v>2</v>
      </c>
      <c r="E2">
        <v>0</v>
      </c>
    </row>
    <row r="3" spans="1:5" x14ac:dyDescent="0.25">
      <c r="A3" t="s">
        <v>3</v>
      </c>
      <c r="C3">
        <v>2</v>
      </c>
      <c r="D3">
        <v>3</v>
      </c>
      <c r="E3">
        <v>6</v>
      </c>
    </row>
    <row r="4" spans="1:5" x14ac:dyDescent="0.25">
      <c r="A4" t="s">
        <v>3</v>
      </c>
      <c r="C4">
        <v>3</v>
      </c>
      <c r="D4">
        <v>1</v>
      </c>
      <c r="E4">
        <v>1</v>
      </c>
    </row>
    <row r="5" spans="1:5" x14ac:dyDescent="0.25">
      <c r="A5" t="s">
        <v>3</v>
      </c>
      <c r="C5">
        <v>4</v>
      </c>
      <c r="D5">
        <v>0</v>
      </c>
      <c r="E5">
        <v>0</v>
      </c>
    </row>
    <row r="6" spans="1:5" x14ac:dyDescent="0.25">
      <c r="A6" t="s">
        <v>2</v>
      </c>
      <c r="C6">
        <v>5</v>
      </c>
      <c r="D6">
        <v>2</v>
      </c>
      <c r="E6">
        <v>0</v>
      </c>
    </row>
    <row r="7" spans="1:5" x14ac:dyDescent="0.25">
      <c r="A7" t="s">
        <v>8</v>
      </c>
      <c r="C7">
        <v>6</v>
      </c>
      <c r="D7">
        <v>2</v>
      </c>
      <c r="E7">
        <v>2</v>
      </c>
    </row>
    <row r="8" spans="1:5" x14ac:dyDescent="0.25">
      <c r="A8" t="s">
        <v>8</v>
      </c>
      <c r="C8">
        <v>7</v>
      </c>
      <c r="D8">
        <v>3</v>
      </c>
      <c r="E8">
        <v>5</v>
      </c>
    </row>
    <row r="9" spans="1:5" x14ac:dyDescent="0.25">
      <c r="A9" t="s">
        <v>9</v>
      </c>
      <c r="C9">
        <v>8</v>
      </c>
      <c r="D9">
        <v>1</v>
      </c>
      <c r="E9">
        <v>0</v>
      </c>
    </row>
    <row r="10" spans="1:5" x14ac:dyDescent="0.25">
      <c r="A10" t="s">
        <v>9</v>
      </c>
      <c r="C10">
        <v>9</v>
      </c>
      <c r="D10">
        <v>0</v>
      </c>
      <c r="E10">
        <v>0</v>
      </c>
    </row>
    <row r="11" spans="1:5" x14ac:dyDescent="0.25">
      <c r="A11" t="s">
        <v>4</v>
      </c>
      <c r="C11">
        <v>10</v>
      </c>
      <c r="D11">
        <v>0</v>
      </c>
      <c r="E11">
        <v>0</v>
      </c>
    </row>
    <row r="12" spans="1:5" x14ac:dyDescent="0.25">
      <c r="A12" t="s">
        <v>4</v>
      </c>
      <c r="D12">
        <f>SUM(D2:D11)</f>
        <v>14</v>
      </c>
      <c r="E12">
        <f>SUM(E2:E11)</f>
        <v>14</v>
      </c>
    </row>
    <row r="13" spans="1:5" x14ac:dyDescent="0.25">
      <c r="A13" t="s">
        <v>4</v>
      </c>
    </row>
    <row r="14" spans="1:5" x14ac:dyDescent="0.25">
      <c r="A14" t="s">
        <v>10</v>
      </c>
    </row>
    <row r="16" spans="1:5" x14ac:dyDescent="0.25">
      <c r="A16" t="s">
        <v>11</v>
      </c>
    </row>
    <row r="17" spans="1:1" x14ac:dyDescent="0.25">
      <c r="A17" t="s">
        <v>11</v>
      </c>
    </row>
    <row r="18" spans="1:1" x14ac:dyDescent="0.25">
      <c r="A18" t="s">
        <v>11</v>
      </c>
    </row>
    <row r="19" spans="1:1" x14ac:dyDescent="0.25">
      <c r="A19" t="s">
        <v>11</v>
      </c>
    </row>
    <row r="20" spans="1:1" x14ac:dyDescent="0.25">
      <c r="A20" t="s">
        <v>11</v>
      </c>
    </row>
    <row r="21" spans="1:1" x14ac:dyDescent="0.25">
      <c r="A21" t="s">
        <v>11</v>
      </c>
    </row>
    <row r="22" spans="1:1" x14ac:dyDescent="0.25">
      <c r="A22" t="s">
        <v>12</v>
      </c>
    </row>
    <row r="23" spans="1:1" x14ac:dyDescent="0.25">
      <c r="A23" t="s">
        <v>14</v>
      </c>
    </row>
    <row r="24" spans="1:1" x14ac:dyDescent="0.25">
      <c r="A24" t="s">
        <v>14</v>
      </c>
    </row>
    <row r="25" spans="1:1" x14ac:dyDescent="0.25">
      <c r="A25" t="s">
        <v>13</v>
      </c>
    </row>
    <row r="26" spans="1:1" x14ac:dyDescent="0.25">
      <c r="A26" t="s">
        <v>13</v>
      </c>
    </row>
    <row r="27" spans="1:1" x14ac:dyDescent="0.25">
      <c r="A27" t="s">
        <v>13</v>
      </c>
    </row>
    <row r="28" spans="1:1" x14ac:dyDescent="0.25">
      <c r="A28" t="s">
        <v>13</v>
      </c>
    </row>
    <row r="29" spans="1:1" x14ac:dyDescent="0.25">
      <c r="A29" t="s">
        <v>13</v>
      </c>
    </row>
  </sheetData>
  <sortState ref="A16:A29">
    <sortCondition ref="A1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selection activeCell="H2" sqref="H2:H11"/>
    </sheetView>
  </sheetViews>
  <sheetFormatPr defaultRowHeight="15" x14ac:dyDescent="0.25"/>
  <sheetData>
    <row r="1" spans="1:8" x14ac:dyDescent="0.25">
      <c r="A1" t="s">
        <v>22</v>
      </c>
      <c r="G1" t="s">
        <v>0</v>
      </c>
      <c r="H1" t="s">
        <v>6</v>
      </c>
    </row>
    <row r="2" spans="1:8" x14ac:dyDescent="0.25">
      <c r="A2" t="s">
        <v>22</v>
      </c>
      <c r="G2">
        <v>1</v>
      </c>
      <c r="H2">
        <v>2</v>
      </c>
    </row>
    <row r="3" spans="1:8" x14ac:dyDescent="0.25">
      <c r="A3" t="s">
        <v>16</v>
      </c>
      <c r="G3">
        <v>2</v>
      </c>
      <c r="H3">
        <v>8</v>
      </c>
    </row>
    <row r="4" spans="1:8" x14ac:dyDescent="0.25">
      <c r="A4" t="s">
        <v>16</v>
      </c>
      <c r="G4">
        <v>3</v>
      </c>
      <c r="H4">
        <v>7</v>
      </c>
    </row>
    <row r="5" spans="1:8" x14ac:dyDescent="0.25">
      <c r="A5" t="s">
        <v>16</v>
      </c>
      <c r="G5">
        <v>4</v>
      </c>
      <c r="H5">
        <v>4</v>
      </c>
    </row>
    <row r="6" spans="1:8" x14ac:dyDescent="0.25">
      <c r="A6" t="s">
        <v>16</v>
      </c>
      <c r="G6">
        <v>5</v>
      </c>
      <c r="H6">
        <v>1</v>
      </c>
    </row>
    <row r="7" spans="1:8" x14ac:dyDescent="0.25">
      <c r="A7" t="s">
        <v>16</v>
      </c>
      <c r="G7">
        <v>6</v>
      </c>
      <c r="H7">
        <v>4</v>
      </c>
    </row>
    <row r="8" spans="1:8" x14ac:dyDescent="0.25">
      <c r="A8" t="s">
        <v>16</v>
      </c>
      <c r="G8">
        <v>7</v>
      </c>
      <c r="H8">
        <v>7</v>
      </c>
    </row>
    <row r="9" spans="1:8" x14ac:dyDescent="0.25">
      <c r="A9" t="s">
        <v>16</v>
      </c>
      <c r="G9">
        <v>8</v>
      </c>
      <c r="H9">
        <v>1</v>
      </c>
    </row>
    <row r="10" spans="1:8" x14ac:dyDescent="0.25">
      <c r="A10" t="s">
        <v>3</v>
      </c>
      <c r="G10">
        <v>9</v>
      </c>
      <c r="H10">
        <v>2</v>
      </c>
    </row>
    <row r="11" spans="1:8" x14ac:dyDescent="0.25">
      <c r="A11" t="s">
        <v>18</v>
      </c>
      <c r="G11">
        <v>10</v>
      </c>
      <c r="H11">
        <v>0</v>
      </c>
    </row>
    <row r="12" spans="1:8" x14ac:dyDescent="0.25">
      <c r="A12" t="s">
        <v>18</v>
      </c>
      <c r="H12">
        <f>SUM(H2:H11)</f>
        <v>36</v>
      </c>
    </row>
    <row r="13" spans="1:8" x14ac:dyDescent="0.25">
      <c r="A13" t="s">
        <v>18</v>
      </c>
    </row>
    <row r="14" spans="1:8" x14ac:dyDescent="0.25">
      <c r="A14" t="s">
        <v>18</v>
      </c>
    </row>
    <row r="15" spans="1:8" x14ac:dyDescent="0.25">
      <c r="A15" t="s">
        <v>2</v>
      </c>
    </row>
    <row r="16" spans="1:8" x14ac:dyDescent="0.25">
      <c r="A16" t="s">
        <v>2</v>
      </c>
    </row>
    <row r="17" spans="1:1" x14ac:dyDescent="0.25">
      <c r="A17" t="s">
        <v>2</v>
      </c>
    </row>
    <row r="18" spans="1:1" x14ac:dyDescent="0.25">
      <c r="A18" t="s">
        <v>17</v>
      </c>
    </row>
    <row r="19" spans="1:1" x14ac:dyDescent="0.25">
      <c r="A19" t="s">
        <v>17</v>
      </c>
    </row>
    <row r="20" spans="1:1" x14ac:dyDescent="0.25">
      <c r="A20" t="s">
        <v>17</v>
      </c>
    </row>
    <row r="21" spans="1:1" x14ac:dyDescent="0.25">
      <c r="A21" t="s">
        <v>17</v>
      </c>
    </row>
    <row r="22" spans="1:1" x14ac:dyDescent="0.25">
      <c r="A22" t="s">
        <v>21</v>
      </c>
    </row>
    <row r="23" spans="1:1" x14ac:dyDescent="0.25">
      <c r="A23" t="s">
        <v>20</v>
      </c>
    </row>
    <row r="24" spans="1:1" x14ac:dyDescent="0.25">
      <c r="A24" t="s">
        <v>20</v>
      </c>
    </row>
    <row r="25" spans="1:1" x14ac:dyDescent="0.25">
      <c r="A25" t="s">
        <v>20</v>
      </c>
    </row>
    <row r="26" spans="1:1" x14ac:dyDescent="0.25">
      <c r="A26" t="s">
        <v>9</v>
      </c>
    </row>
    <row r="27" spans="1:1" x14ac:dyDescent="0.25">
      <c r="A27" t="s">
        <v>19</v>
      </c>
    </row>
    <row r="28" spans="1:1" x14ac:dyDescent="0.25">
      <c r="A28" t="s">
        <v>19</v>
      </c>
    </row>
    <row r="29" spans="1:1" x14ac:dyDescent="0.25">
      <c r="A29" t="s">
        <v>19</v>
      </c>
    </row>
    <row r="30" spans="1:1" x14ac:dyDescent="0.25">
      <c r="A30" t="s">
        <v>19</v>
      </c>
    </row>
    <row r="31" spans="1:1" x14ac:dyDescent="0.25">
      <c r="A31" t="s">
        <v>19</v>
      </c>
    </row>
    <row r="32" spans="1:1" x14ac:dyDescent="0.25">
      <c r="A32" t="s">
        <v>4</v>
      </c>
    </row>
    <row r="33" spans="1:1" x14ac:dyDescent="0.25">
      <c r="A33" t="s">
        <v>4</v>
      </c>
    </row>
    <row r="34" spans="1:1" x14ac:dyDescent="0.25">
      <c r="A34" t="s">
        <v>10</v>
      </c>
    </row>
    <row r="35" spans="1:1" x14ac:dyDescent="0.25">
      <c r="A35" t="s">
        <v>23</v>
      </c>
    </row>
    <row r="36" spans="1:1" x14ac:dyDescent="0.25">
      <c r="A36" t="s">
        <v>24</v>
      </c>
    </row>
  </sheetData>
  <sortState ref="A1:A36">
    <sortCondition ref="A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E2" sqref="E2:E11"/>
    </sheetView>
  </sheetViews>
  <sheetFormatPr defaultRowHeight="15" x14ac:dyDescent="0.25"/>
  <cols>
    <col min="1" max="1" width="47.42578125" bestFit="1" customWidth="1"/>
  </cols>
  <sheetData>
    <row r="1" spans="1:5" x14ac:dyDescent="0.25">
      <c r="A1" t="s">
        <v>25</v>
      </c>
      <c r="C1" t="s">
        <v>0</v>
      </c>
      <c r="D1" t="s">
        <v>6</v>
      </c>
      <c r="E1" t="s">
        <v>7</v>
      </c>
    </row>
    <row r="2" spans="1:5" x14ac:dyDescent="0.25">
      <c r="A2" t="s">
        <v>25</v>
      </c>
      <c r="C2">
        <v>1</v>
      </c>
      <c r="D2">
        <v>2</v>
      </c>
      <c r="E2">
        <v>3</v>
      </c>
    </row>
    <row r="3" spans="1:5" x14ac:dyDescent="0.25">
      <c r="A3" t="s">
        <v>25</v>
      </c>
      <c r="C3">
        <v>2</v>
      </c>
      <c r="D3">
        <v>1</v>
      </c>
      <c r="E3">
        <v>6</v>
      </c>
    </row>
    <row r="4" spans="1:5" x14ac:dyDescent="0.25">
      <c r="A4" t="s">
        <v>29</v>
      </c>
      <c r="C4">
        <v>3</v>
      </c>
      <c r="D4">
        <v>3</v>
      </c>
      <c r="E4">
        <v>2</v>
      </c>
    </row>
    <row r="5" spans="1:5" x14ac:dyDescent="0.25">
      <c r="A5" t="s">
        <v>29</v>
      </c>
      <c r="C5">
        <v>4</v>
      </c>
      <c r="D5">
        <v>0</v>
      </c>
      <c r="E5">
        <v>0</v>
      </c>
    </row>
    <row r="6" spans="1:5" x14ac:dyDescent="0.25">
      <c r="A6" t="s">
        <v>29</v>
      </c>
      <c r="C6">
        <v>5</v>
      </c>
      <c r="D6">
        <v>0</v>
      </c>
      <c r="E6">
        <v>0</v>
      </c>
    </row>
    <row r="7" spans="1:5" x14ac:dyDescent="0.25">
      <c r="A7" t="s">
        <v>29</v>
      </c>
      <c r="C7">
        <v>6</v>
      </c>
      <c r="D7">
        <v>0</v>
      </c>
      <c r="E7">
        <v>1</v>
      </c>
    </row>
    <row r="8" spans="1:5" x14ac:dyDescent="0.25">
      <c r="A8" t="s">
        <v>29</v>
      </c>
      <c r="C8">
        <v>7</v>
      </c>
      <c r="D8">
        <v>0</v>
      </c>
      <c r="E8">
        <v>6</v>
      </c>
    </row>
    <row r="9" spans="1:5" x14ac:dyDescent="0.25">
      <c r="A9" t="s">
        <v>29</v>
      </c>
      <c r="C9">
        <v>8</v>
      </c>
      <c r="D9">
        <v>1</v>
      </c>
      <c r="E9">
        <v>3</v>
      </c>
    </row>
    <row r="10" spans="1:5" x14ac:dyDescent="0.25">
      <c r="A10" t="s">
        <v>26</v>
      </c>
      <c r="C10">
        <v>9</v>
      </c>
      <c r="D10">
        <v>2</v>
      </c>
      <c r="E10">
        <v>0</v>
      </c>
    </row>
    <row r="11" spans="1:5" x14ac:dyDescent="0.25">
      <c r="A11" t="s">
        <v>26</v>
      </c>
      <c r="C11">
        <v>10</v>
      </c>
      <c r="D11">
        <v>0</v>
      </c>
      <c r="E11">
        <v>0</v>
      </c>
    </row>
    <row r="12" spans="1:5" x14ac:dyDescent="0.25">
      <c r="A12" t="s">
        <v>27</v>
      </c>
    </row>
    <row r="13" spans="1:5" x14ac:dyDescent="0.25">
      <c r="A13" t="s">
        <v>28</v>
      </c>
    </row>
    <row r="14" spans="1:5" x14ac:dyDescent="0.25">
      <c r="A14" t="s">
        <v>28</v>
      </c>
    </row>
    <row r="15" spans="1:5" x14ac:dyDescent="0.25">
      <c r="A15" t="s">
        <v>28</v>
      </c>
    </row>
    <row r="16" spans="1:5" x14ac:dyDescent="0.25">
      <c r="A16" t="s">
        <v>28</v>
      </c>
    </row>
    <row r="17" spans="1:1" x14ac:dyDescent="0.25">
      <c r="A17" t="s">
        <v>28</v>
      </c>
    </row>
    <row r="18" spans="1:1" x14ac:dyDescent="0.25">
      <c r="A18" t="s">
        <v>28</v>
      </c>
    </row>
    <row r="19" spans="1:1" x14ac:dyDescent="0.25">
      <c r="A19" t="s">
        <v>30</v>
      </c>
    </row>
    <row r="20" spans="1:1" x14ac:dyDescent="0.25">
      <c r="A20" t="s">
        <v>30</v>
      </c>
    </row>
    <row r="21" spans="1:1" x14ac:dyDescent="0.25">
      <c r="A21" t="s">
        <v>30</v>
      </c>
    </row>
    <row r="26" spans="1:1" x14ac:dyDescent="0.25">
      <c r="A26" t="s">
        <v>1</v>
      </c>
    </row>
    <row r="27" spans="1:1" x14ac:dyDescent="0.25">
      <c r="A27" t="s">
        <v>1</v>
      </c>
    </row>
    <row r="28" spans="1:1" x14ac:dyDescent="0.25">
      <c r="A28" t="s">
        <v>3</v>
      </c>
    </row>
    <row r="29" spans="1:1" x14ac:dyDescent="0.25">
      <c r="A29" t="s">
        <v>2</v>
      </c>
    </row>
    <row r="30" spans="1:1" x14ac:dyDescent="0.25">
      <c r="A30" t="s">
        <v>10</v>
      </c>
    </row>
    <row r="31" spans="1:1" x14ac:dyDescent="0.25">
      <c r="A31" t="s">
        <v>24</v>
      </c>
    </row>
    <row r="32" spans="1:1" x14ac:dyDescent="0.25">
      <c r="A32" t="s">
        <v>24</v>
      </c>
    </row>
  </sheetData>
  <sortState ref="A26:A32">
    <sortCondition ref="A26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2" sqref="C2:C11"/>
    </sheetView>
  </sheetViews>
  <sheetFormatPr defaultRowHeight="15" x14ac:dyDescent="0.25"/>
  <sheetData>
    <row r="1" spans="1:3" x14ac:dyDescent="0.25">
      <c r="A1" t="s">
        <v>0</v>
      </c>
      <c r="B1" t="s">
        <v>6</v>
      </c>
      <c r="C1" t="s">
        <v>31</v>
      </c>
    </row>
    <row r="2" spans="1:3" x14ac:dyDescent="0.25">
      <c r="A2">
        <v>1</v>
      </c>
      <c r="B2">
        <v>1</v>
      </c>
    </row>
    <row r="3" spans="1:3" x14ac:dyDescent="0.25">
      <c r="A3">
        <v>2</v>
      </c>
      <c r="B3">
        <v>1</v>
      </c>
    </row>
    <row r="4" spans="1:3" x14ac:dyDescent="0.25">
      <c r="A4">
        <v>3</v>
      </c>
    </row>
    <row r="5" spans="1:3" x14ac:dyDescent="0.25">
      <c r="A5">
        <v>4</v>
      </c>
    </row>
    <row r="6" spans="1:3" x14ac:dyDescent="0.25">
      <c r="A6">
        <v>5</v>
      </c>
    </row>
    <row r="7" spans="1:3" x14ac:dyDescent="0.25">
      <c r="A7">
        <v>6</v>
      </c>
    </row>
    <row r="8" spans="1:3" x14ac:dyDescent="0.25">
      <c r="A8">
        <v>7</v>
      </c>
      <c r="C8">
        <v>3</v>
      </c>
    </row>
    <row r="9" spans="1:3" x14ac:dyDescent="0.25">
      <c r="A9">
        <v>8</v>
      </c>
      <c r="B9">
        <v>1</v>
      </c>
    </row>
    <row r="10" spans="1:3" x14ac:dyDescent="0.25">
      <c r="A10">
        <v>9</v>
      </c>
    </row>
    <row r="11" spans="1:3" x14ac:dyDescent="0.25">
      <c r="A11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2" sqref="C2:C11"/>
    </sheetView>
  </sheetViews>
  <sheetFormatPr defaultRowHeight="15" x14ac:dyDescent="0.25"/>
  <sheetData>
    <row r="1" spans="1:3" x14ac:dyDescent="0.25">
      <c r="A1" t="s">
        <v>0</v>
      </c>
      <c r="B1" t="s">
        <v>6</v>
      </c>
      <c r="C1" t="s">
        <v>7</v>
      </c>
    </row>
    <row r="2" spans="1:3" x14ac:dyDescent="0.25">
      <c r="A2">
        <v>1</v>
      </c>
      <c r="C2">
        <v>1</v>
      </c>
    </row>
    <row r="3" spans="1:3" x14ac:dyDescent="0.25">
      <c r="A3">
        <v>2</v>
      </c>
      <c r="C3">
        <v>1</v>
      </c>
    </row>
    <row r="4" spans="1:3" x14ac:dyDescent="0.25">
      <c r="A4">
        <v>3</v>
      </c>
      <c r="C4">
        <v>1</v>
      </c>
    </row>
    <row r="5" spans="1:3" x14ac:dyDescent="0.25">
      <c r="A5">
        <v>4</v>
      </c>
      <c r="B5">
        <v>1</v>
      </c>
    </row>
    <row r="6" spans="1:3" x14ac:dyDescent="0.25">
      <c r="A6">
        <v>5</v>
      </c>
      <c r="B6">
        <v>1</v>
      </c>
    </row>
    <row r="7" spans="1:3" x14ac:dyDescent="0.25">
      <c r="A7">
        <v>6</v>
      </c>
      <c r="C7">
        <v>1</v>
      </c>
    </row>
    <row r="8" spans="1:3" x14ac:dyDescent="0.25">
      <c r="A8">
        <v>7</v>
      </c>
    </row>
    <row r="9" spans="1:3" x14ac:dyDescent="0.25">
      <c r="A9">
        <v>8</v>
      </c>
    </row>
    <row r="10" spans="1:3" x14ac:dyDescent="0.25">
      <c r="A10">
        <v>9</v>
      </c>
      <c r="C10">
        <v>1</v>
      </c>
    </row>
    <row r="11" spans="1:3" x14ac:dyDescent="0.25">
      <c r="A11">
        <v>10</v>
      </c>
      <c r="C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2" sqref="C2:C11"/>
    </sheetView>
  </sheetViews>
  <sheetFormatPr defaultRowHeight="15" x14ac:dyDescent="0.25"/>
  <sheetData>
    <row r="1" spans="1:3" x14ac:dyDescent="0.25">
      <c r="A1" t="s">
        <v>0</v>
      </c>
      <c r="B1" t="s">
        <v>15</v>
      </c>
      <c r="C1" t="s">
        <v>6</v>
      </c>
    </row>
    <row r="2" spans="1:3" x14ac:dyDescent="0.25">
      <c r="A2">
        <v>1</v>
      </c>
    </row>
    <row r="3" spans="1:3" x14ac:dyDescent="0.25">
      <c r="A3">
        <v>2</v>
      </c>
      <c r="B3">
        <v>1</v>
      </c>
    </row>
    <row r="4" spans="1:3" x14ac:dyDescent="0.25">
      <c r="A4">
        <v>3</v>
      </c>
      <c r="B4">
        <v>1</v>
      </c>
    </row>
    <row r="5" spans="1:3" x14ac:dyDescent="0.25">
      <c r="A5">
        <v>4</v>
      </c>
    </row>
    <row r="6" spans="1:3" x14ac:dyDescent="0.25">
      <c r="A6">
        <v>5</v>
      </c>
    </row>
    <row r="7" spans="1:3" x14ac:dyDescent="0.25">
      <c r="A7">
        <v>6</v>
      </c>
    </row>
    <row r="8" spans="1:3" x14ac:dyDescent="0.25">
      <c r="A8">
        <v>7</v>
      </c>
      <c r="C8">
        <v>1</v>
      </c>
    </row>
    <row r="9" spans="1:3" x14ac:dyDescent="0.25">
      <c r="A9">
        <v>8</v>
      </c>
      <c r="B9">
        <v>1</v>
      </c>
    </row>
    <row r="10" spans="1:3" x14ac:dyDescent="0.25">
      <c r="A10">
        <v>9</v>
      </c>
    </row>
    <row r="11" spans="1:3" x14ac:dyDescent="0.25">
      <c r="A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$20</vt:lpstr>
      <vt:lpstr>$30</vt:lpstr>
      <vt:lpstr>$35</vt:lpstr>
      <vt:lpstr>$40</vt:lpstr>
      <vt:lpstr>$45</vt:lpstr>
      <vt:lpstr>$70</vt:lpstr>
      <vt:lpstr>$125</vt:lpstr>
      <vt:lpstr>$250</vt:lpstr>
      <vt:lpstr>$325</vt:lpstr>
      <vt:lpstr>$350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dcterms:created xsi:type="dcterms:W3CDTF">2014-04-06T20:10:40Z</dcterms:created>
  <dcterms:modified xsi:type="dcterms:W3CDTF">2014-04-07T15:44:19Z</dcterms:modified>
</cp:coreProperties>
</file>