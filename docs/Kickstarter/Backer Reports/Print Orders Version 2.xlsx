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ny\Dropbox\Kickstarter TK\Backer Reports\"/>
    </mc:Choice>
  </mc:AlternateContent>
  <bookViews>
    <workbookView xWindow="0" yWindow="0" windowWidth="17070" windowHeight="3165" firstSheet="4" activeTab="7"/>
  </bookViews>
  <sheets>
    <sheet name="20 Prints" sheetId="2" r:id="rId1"/>
    <sheet name="30 Prints" sheetId="3" r:id="rId2"/>
    <sheet name="35 Manual" sheetId="4" r:id="rId3"/>
    <sheet name="40 Prints" sheetId="5" r:id="rId4"/>
    <sheet name="45 Prints" sheetId="6" r:id="rId5"/>
    <sheet name="70 Prints" sheetId="8" r:id="rId6"/>
    <sheet name="125 Canvas" sheetId="7" r:id="rId7"/>
    <sheet name="250 Photo" sheetId="9" r:id="rId8"/>
    <sheet name="325 Photo" sheetId="10" r:id="rId9"/>
    <sheet name="350 Video" sheetId="11" r:id="rId10"/>
    <sheet name="No Reward" sheetId="12" r:id="rId11"/>
    <sheet name="8x10 Prints" sheetId="13" r:id="rId12"/>
    <sheet name="11x14 Prints" sheetId="14" r:id="rId13"/>
    <sheet name="12x18 Prints" sheetId="15" r:id="rId14"/>
    <sheet name="Canvas Wraps" sheetId="16" r:id="rId15"/>
    <sheet name="Stickers" sheetId="17" r:id="rId16"/>
  </sheets>
  <calcPr calcId="152511" concurrentCalc="0"/>
</workbook>
</file>

<file path=xl/calcChain.xml><?xml version="1.0" encoding="utf-8"?>
<calcChain xmlns="http://schemas.openxmlformats.org/spreadsheetml/2006/main">
  <c r="F1" i="17" l="1"/>
  <c r="B11" i="17"/>
  <c r="C11" i="17"/>
  <c r="D11" i="17"/>
  <c r="E11" i="17"/>
  <c r="F11" i="17"/>
  <c r="G1" i="17"/>
  <c r="F2" i="17"/>
  <c r="G2" i="17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G11" i="17"/>
  <c r="F13" i="17"/>
  <c r="F11" i="16"/>
  <c r="G11" i="15"/>
  <c r="F11" i="14"/>
  <c r="F11" i="13"/>
</calcChain>
</file>

<file path=xl/sharedStrings.xml><?xml version="1.0" encoding="utf-8"?>
<sst xmlns="http://schemas.openxmlformats.org/spreadsheetml/2006/main" count="1690" uniqueCount="581">
  <si>
    <t>Backer Id</t>
  </si>
  <si>
    <t>Backer Name</t>
  </si>
  <si>
    <t>Email</t>
  </si>
  <si>
    <t>Pledge Amount</t>
  </si>
  <si>
    <t>Pledged At</t>
  </si>
  <si>
    <t>Rewards Sent?</t>
  </si>
  <si>
    <t>Pledged Status</t>
  </si>
  <si>
    <t>Notes</t>
  </si>
  <si>
    <t>Survey Response</t>
  </si>
  <si>
    <t>collected</t>
  </si>
  <si>
    <t>Option 2 - Grain Belt Beer - Bonus</t>
  </si>
  <si>
    <t>Option 8 - Target HQ</t>
  </si>
  <si>
    <t>US</t>
  </si>
  <si>
    <t>United States</t>
  </si>
  <si>
    <t>92807-3208</t>
  </si>
  <si>
    <t>CA</t>
  </si>
  <si>
    <t>Anaheim</t>
  </si>
  <si>
    <t>6017 E Calle Cedro</t>
  </si>
  <si>
    <t>Robert Hagmaier</t>
  </si>
  <si>
    <t>2014/04/01, 00:26</t>
  </si>
  <si>
    <t>$20.00 USD</t>
  </si>
  <si>
    <t>Domestic</t>
  </si>
  <si>
    <t>rob@hagmaier.net</t>
  </si>
  <si>
    <t>Option 4 - Minneapolis from Loring Park - Bonus</t>
  </si>
  <si>
    <t>Option 3 - Downtown Minneapolis #1</t>
  </si>
  <si>
    <t>55401-2566</t>
  </si>
  <si>
    <t>MN</t>
  </si>
  <si>
    <t>Minneapolis</t>
  </si>
  <si>
    <t>401 S 1st St Unit 903</t>
  </si>
  <si>
    <t>Lucia Yess</t>
  </si>
  <si>
    <t>2014/03/31, 15:23</t>
  </si>
  <si>
    <t>luciayess@gmail.com</t>
  </si>
  <si>
    <t>Lucia</t>
  </si>
  <si>
    <t>Option 9 - Loring Park</t>
  </si>
  <si>
    <t>55419-1611</t>
  </si>
  <si>
    <t>5608 James Ave S</t>
  </si>
  <si>
    <t>Scott Weinberg</t>
  </si>
  <si>
    <t>2014/03/31, 11:04</t>
  </si>
  <si>
    <t>scott.weinberg.email@gmail.com</t>
  </si>
  <si>
    <t>Option 3 - Downtown Minneapolis #1 - Bonus</t>
  </si>
  <si>
    <t>Option 7 - Downtown Minneapolis #3</t>
  </si>
  <si>
    <t>96789-2837</t>
  </si>
  <si>
    <t>HI</t>
  </si>
  <si>
    <t>Mililani</t>
  </si>
  <si>
    <t>95-979 Makaunulau St</t>
  </si>
  <si>
    <t xml:space="preserve">Sheldon </t>
  </si>
  <si>
    <t>2014/03/30, 06:14</t>
  </si>
  <si>
    <t>kalaniz94@gmail.com</t>
  </si>
  <si>
    <t>Sheldon Sonido</t>
  </si>
  <si>
    <t>55109-2534</t>
  </si>
  <si>
    <t>Maplewood</t>
  </si>
  <si>
    <t>2240 English St</t>
  </si>
  <si>
    <t>Rick Rydeen</t>
  </si>
  <si>
    <t>2014/03/29, 10:49</t>
  </si>
  <si>
    <t>geardancer@yahoo.com</t>
  </si>
  <si>
    <t>55107-2945</t>
  </si>
  <si>
    <t>Saint Paul</t>
  </si>
  <si>
    <t>633 Robert St S Apt 106</t>
  </si>
  <si>
    <t>Reid Marble</t>
  </si>
  <si>
    <t>2014/03/28, 16:54</t>
  </si>
  <si>
    <t>reid.marble@gmail.com</t>
  </si>
  <si>
    <t>Option 7 - Downtown Minneapolis #3 - Bonus</t>
  </si>
  <si>
    <t>Option 1 - Ramp Spiral #1</t>
  </si>
  <si>
    <t>55305-6210</t>
  </si>
  <si>
    <t>Hopkins</t>
  </si>
  <si>
    <t>1505 5th St N Apt 106</t>
  </si>
  <si>
    <t>Eric Darling</t>
  </si>
  <si>
    <t>2014/03/19, 14:39</t>
  </si>
  <si>
    <t>eric@sotapitcher.com</t>
  </si>
  <si>
    <t>Option 5 - Downtown Saint Paul</t>
  </si>
  <si>
    <t>55076-2306</t>
  </si>
  <si>
    <t>Inver Grove Heights</t>
  </si>
  <si>
    <t>7345 Bester Ave</t>
  </si>
  <si>
    <t>Daniel Wanschura</t>
  </si>
  <si>
    <t>2014/03/18, 11:30</t>
  </si>
  <si>
    <t>mnorthernlightsmedia@gmail.com</t>
  </si>
  <si>
    <t>Daniel and Meagan Wanschura</t>
  </si>
  <si>
    <t>Option 6 - Downtown Minneapolis #2</t>
  </si>
  <si>
    <t>48413-1350</t>
  </si>
  <si>
    <t>MI</t>
  </si>
  <si>
    <t>Bad Axe</t>
  </si>
  <si>
    <t>626 W South St</t>
  </si>
  <si>
    <t>Rebecca Howard</t>
  </si>
  <si>
    <t>2014/03/18, 01:27</t>
  </si>
  <si>
    <t>beckey1980@gmail.com</t>
  </si>
  <si>
    <t>Option 4 - Minneapolis from Loring Park</t>
  </si>
  <si>
    <t>55016-2616</t>
  </si>
  <si>
    <t>Cottage Grove</t>
  </si>
  <si>
    <t>8415 Glenbrook Ave S</t>
  </si>
  <si>
    <t>Austin Kringle</t>
  </si>
  <si>
    <t>2014/03/17, 22:01</t>
  </si>
  <si>
    <t>akringle47@gmail.com</t>
  </si>
  <si>
    <t>55414-3782</t>
  </si>
  <si>
    <t>711 4th St SE Apt 412</t>
  </si>
  <si>
    <t>Sara Russett</t>
  </si>
  <si>
    <t>2014/03/14, 12:20</t>
  </si>
  <si>
    <t>srussett13@gmail.com</t>
  </si>
  <si>
    <t>55343-4408</t>
  </si>
  <si>
    <t>Minnetonka</t>
  </si>
  <si>
    <t>5455 Smetana Dr Apt 1107</t>
  </si>
  <si>
    <t>Phil Ensminger</t>
  </si>
  <si>
    <t>2014/03/12, 18:36</t>
  </si>
  <si>
    <t>$21.00 USD</t>
  </si>
  <si>
    <t>audiophile.2010@gmail.com</t>
  </si>
  <si>
    <t>2014/03/09, 23:46</t>
  </si>
  <si>
    <t>Tonyholte@gmail.com</t>
  </si>
  <si>
    <t>Tony Holte</t>
  </si>
  <si>
    <t>55016-2101</t>
  </si>
  <si>
    <t>8790 75th St S</t>
  </si>
  <si>
    <t>John Nieland</t>
  </si>
  <si>
    <t>2014/03/09, 10:33</t>
  </si>
  <si>
    <t>jniel56@gmail.com</t>
  </si>
  <si>
    <t>Option 10 - Ramp Spiral #2 - Bonus</t>
  </si>
  <si>
    <t>55429-3009</t>
  </si>
  <si>
    <t>Brooklyn Center</t>
  </si>
  <si>
    <t>3508 Admiral Ln N</t>
  </si>
  <si>
    <t>Clark kimball</t>
  </si>
  <si>
    <t>2014/03/07, 12:25</t>
  </si>
  <si>
    <t>clarkcorwin@me.com</t>
  </si>
  <si>
    <t>Clark Kimball</t>
  </si>
  <si>
    <t>55436-1606</t>
  </si>
  <si>
    <t>Edina</t>
  </si>
  <si>
    <t>5624 Lincoln Dr</t>
  </si>
  <si>
    <t>Adam Harmon</t>
  </si>
  <si>
    <t>2014/03/03, 17:38</t>
  </si>
  <si>
    <t>harmon18@gmail.com</t>
  </si>
  <si>
    <t>Choices</t>
  </si>
  <si>
    <t>Shipping Country Code</t>
  </si>
  <si>
    <t>Shipping Country Name</t>
  </si>
  <si>
    <t>Shipping Postal Code</t>
  </si>
  <si>
    <t>Shipping State</t>
  </si>
  <si>
    <t>Shipping City</t>
  </si>
  <si>
    <t>Shipping Address 2</t>
  </si>
  <si>
    <t>Shipping Address 1</t>
  </si>
  <si>
    <t>Shipping Name</t>
  </si>
  <si>
    <t>Shipping</t>
  </si>
  <si>
    <t>Option 7 – Bonus 8x10  – Downtown Minneapolis #3</t>
  </si>
  <si>
    <t>Option 2 – 11x14 – Grain Belt Beer</t>
  </si>
  <si>
    <t>55409-1065</t>
  </si>
  <si>
    <t>3640 Aldrich Ave S Apt 2</t>
  </si>
  <si>
    <t>Fredrick Haugen</t>
  </si>
  <si>
    <t>2014/03/31, 22:14</t>
  </si>
  <si>
    <t>$30.00 USD</t>
  </si>
  <si>
    <t>fredrick.haugen@gmail.com</t>
  </si>
  <si>
    <t>Option 2 – Bonus 8x10  – Grain Belt Beer</t>
  </si>
  <si>
    <t>Option 3 – 11x14 – Downtown Minneapolis #1</t>
  </si>
  <si>
    <t>55330-2127</t>
  </si>
  <si>
    <t>Elk River</t>
  </si>
  <si>
    <t>19612 Tyler St NW</t>
  </si>
  <si>
    <t>Collin Forsyth</t>
  </si>
  <si>
    <t>2014/03/31, 22:05</t>
  </si>
  <si>
    <t>hotlavamaster@yahoo.com</t>
  </si>
  <si>
    <t>Option 6 – Bonus 8x10  – Downtown Minneapolis #2</t>
  </si>
  <si>
    <t>55379-3926</t>
  </si>
  <si>
    <t>Shakopee</t>
  </si>
  <si>
    <t>2239 Cascade Dr</t>
  </si>
  <si>
    <t>Jeff Parenteau</t>
  </si>
  <si>
    <t>2014/03/30, 18:32</t>
  </si>
  <si>
    <t>jeffrey.parenteau@gmail.com</t>
  </si>
  <si>
    <t>Option 7 – 11x14 – Downtown Minneapolis #3</t>
  </si>
  <si>
    <t>55419-1419</t>
  </si>
  <si>
    <t>5429 3rd Ave S</t>
  </si>
  <si>
    <t>Kevin Hurbanis</t>
  </si>
  <si>
    <t>2014/03/18, 08:39</t>
  </si>
  <si>
    <t>hurbanis@gmail.com</t>
  </si>
  <si>
    <t>55108-2037</t>
  </si>
  <si>
    <t>1146 Raleigh St</t>
  </si>
  <si>
    <t>Adam N Wold</t>
  </si>
  <si>
    <t>2014/03/17, 11:00</t>
  </si>
  <si>
    <t>adam.n.wold@gmail.com</t>
  </si>
  <si>
    <t>Adam Wold</t>
  </si>
  <si>
    <t>Option 8 – Bonus 8x10  – Target HQ</t>
  </si>
  <si>
    <t>55038-8552</t>
  </si>
  <si>
    <t>Hugo</t>
  </si>
  <si>
    <t>15779 Fairoaks Ave N</t>
  </si>
  <si>
    <t>Andy Chow</t>
  </si>
  <si>
    <t>2014/03/04, 08:29</t>
  </si>
  <si>
    <t>andrew_chow@msn.com</t>
  </si>
  <si>
    <t>Andrew Chow</t>
  </si>
  <si>
    <t>Option 3 – Bonus 8x10  – Downtown Minneapolis #1</t>
  </si>
  <si>
    <t>55124-7007</t>
  </si>
  <si>
    <t>Apple Valley</t>
  </si>
  <si>
    <t>15711 Hallmark Path</t>
  </si>
  <si>
    <t>Dave Burnham</t>
  </si>
  <si>
    <t>2014/03/04, 08:10</t>
  </si>
  <si>
    <t>dburnham@bracketron.com</t>
  </si>
  <si>
    <t>55414-1257</t>
  </si>
  <si>
    <t>401 9th St SE Apt 201</t>
  </si>
  <si>
    <t>Alex Hambrock</t>
  </si>
  <si>
    <t>2014/03/03, 14:08</t>
  </si>
  <si>
    <t>$35.00 USD</t>
  </si>
  <si>
    <t>themezentine@gmail.com</t>
  </si>
  <si>
    <t>55408-2818</t>
  </si>
  <si>
    <t>3046 Bryant Ave S Apt 1</t>
  </si>
  <si>
    <t>John Scully</t>
  </si>
  <si>
    <t>2014/03/03, 13:38</t>
  </si>
  <si>
    <t>johnpatscully@gmail.com</t>
  </si>
  <si>
    <t>Jackmac184@aol.com</t>
  </si>
  <si>
    <t>20602-1611</t>
  </si>
  <si>
    <t>MD</t>
  </si>
  <si>
    <t>Waldorf</t>
  </si>
  <si>
    <t>1401 Boswell Ct</t>
  </si>
  <si>
    <t>Jack McGowan</t>
  </si>
  <si>
    <t>2014/03/31, 23:22</t>
  </si>
  <si>
    <t>$51.00 USD</t>
  </si>
  <si>
    <t>John McGowan</t>
  </si>
  <si>
    <t>kickstarter@holdenchang.com</t>
  </si>
  <si>
    <t>77479-6302</t>
  </si>
  <si>
    <t>TX</t>
  </si>
  <si>
    <t>Sugar Land</t>
  </si>
  <si>
    <t>7426 Greatwood Lake Dr</t>
  </si>
  <si>
    <t>Holden Chang</t>
  </si>
  <si>
    <t>2014/03/29, 16:13</t>
  </si>
  <si>
    <t>tbrandis@gmail.com</t>
  </si>
  <si>
    <t>97223-8248</t>
  </si>
  <si>
    <t>OR</t>
  </si>
  <si>
    <t>Portland</t>
  </si>
  <si>
    <t>11950 SW Garden Pl</t>
  </si>
  <si>
    <t>Timothy Brandis</t>
  </si>
  <si>
    <t>2014/03/26, 18:19</t>
  </si>
  <si>
    <t>Option 1 – Bonus 8x10 – Ramp Spiral #1</t>
  </si>
  <si>
    <t>marc_taylor@me.com</t>
  </si>
  <si>
    <t>Wn21uw</t>
  </si>
  <si>
    <t>AL</t>
  </si>
  <si>
    <t>Wigan</t>
  </si>
  <si>
    <t>Aspull</t>
  </si>
  <si>
    <t>26 Corfe Close</t>
  </si>
  <si>
    <t>Marc Taylor</t>
  </si>
  <si>
    <t>2014/03/26, 09:44</t>
  </si>
  <si>
    <t>dahveedsalas@yahoo.com</t>
  </si>
  <si>
    <t>79124-4982</t>
  </si>
  <si>
    <t>Amarillo</t>
  </si>
  <si>
    <t>6402 Willow Oak Pl</t>
  </si>
  <si>
    <t>David Salas</t>
  </si>
  <si>
    <t>2014/03/22, 19:03</t>
  </si>
  <si>
    <t>johnrgann@gmail.com</t>
  </si>
  <si>
    <t>55431-1047</t>
  </si>
  <si>
    <t>Bloomington</t>
  </si>
  <si>
    <t>3745 Towndale Dr</t>
  </si>
  <si>
    <t>John Gann</t>
  </si>
  <si>
    <t>2014/03/20, 17:01</t>
  </si>
  <si>
    <t>paul.morley@me.com</t>
  </si>
  <si>
    <t>46304-9365</t>
  </si>
  <si>
    <t>IN</t>
  </si>
  <si>
    <t>Chesterton</t>
  </si>
  <si>
    <t>119 E Memory Ln</t>
  </si>
  <si>
    <t>Paul Morley</t>
  </si>
  <si>
    <t>2014/03/20, 06:29</t>
  </si>
  <si>
    <t>dpalma@voxonelabs.com</t>
  </si>
  <si>
    <t>93940-3436</t>
  </si>
  <si>
    <t>Monterey</t>
  </si>
  <si>
    <t># B</t>
  </si>
  <si>
    <t xml:space="preserve">146 Beach Way </t>
  </si>
  <si>
    <t>Dennis Palma</t>
  </si>
  <si>
    <t>2014/03/03, 19:01</t>
  </si>
  <si>
    <t>Dpalma@voxonelabs.com</t>
  </si>
  <si>
    <t>Dennis Palma            VOX One Labs</t>
  </si>
  <si>
    <t>Enter Email Address For Me To Email Your Build Guide To. This Document Is Estimated To Be Completed By The End Of May 2014.</t>
  </si>
  <si>
    <t>Option 2 – 12x18 – Grain Belt Beer</t>
  </si>
  <si>
    <t>55130-3427</t>
  </si>
  <si>
    <t>593 Sherwood Ave</t>
  </si>
  <si>
    <t>Kim Myers</t>
  </si>
  <si>
    <t>2014/03/30, 19:01</t>
  </si>
  <si>
    <t>$40.00 USD</t>
  </si>
  <si>
    <t>kimberly.lynne@gmail.com</t>
  </si>
  <si>
    <t>Kimberly Myers</t>
  </si>
  <si>
    <t>Option 6 – 12x18 – Downtown Minneapolis #2</t>
  </si>
  <si>
    <t>55403-4014</t>
  </si>
  <si>
    <t>301 Oak Grove St Apt 306</t>
  </si>
  <si>
    <t>Joe Merighi</t>
  </si>
  <si>
    <t>2014/03/30, 17:07</t>
  </si>
  <si>
    <t>joemerighi@gmail.com</t>
  </si>
  <si>
    <t>Option 7 – 12x18 – Downtown Minneapolis #3</t>
  </si>
  <si>
    <t>55408-1891</t>
  </si>
  <si>
    <t>2902 Irving Ave S Apt 2</t>
  </si>
  <si>
    <t>Kyle Pitts</t>
  </si>
  <si>
    <t>2014/03/29, 15:53</t>
  </si>
  <si>
    <t>pitkyl@gmail.com</t>
  </si>
  <si>
    <t>55416-4010</t>
  </si>
  <si>
    <t>St Louis Park</t>
  </si>
  <si>
    <t>3036 Lynn Ave</t>
  </si>
  <si>
    <t>Phil Essington</t>
  </si>
  <si>
    <t>2014/03/28, 16:02</t>
  </si>
  <si>
    <t>essington@gmail.com</t>
  </si>
  <si>
    <t>55430-2633</t>
  </si>
  <si>
    <t>6021 Girard Ave N</t>
  </si>
  <si>
    <t>Brad Ashton</t>
  </si>
  <si>
    <t>2014/03/24, 23:56</t>
  </si>
  <si>
    <t>minnesotabrad@comcast.net</t>
  </si>
  <si>
    <t>Option 5 – Bonus 8x10  – Downtown Saint Paul</t>
  </si>
  <si>
    <t>Nick Larson</t>
  </si>
  <si>
    <t>2014/03/18, 12:57</t>
  </si>
  <si>
    <t>nckbmw@gmail.com</t>
  </si>
  <si>
    <t>40222-5033</t>
  </si>
  <si>
    <t>KY</t>
  </si>
  <si>
    <t>Louisville</t>
  </si>
  <si>
    <t>9000 Seaton Springs Pkwy</t>
  </si>
  <si>
    <t>Adam Fremeth</t>
  </si>
  <si>
    <t>2014/03/17, 19:07</t>
  </si>
  <si>
    <t>afremeth@ivey.ca</t>
  </si>
  <si>
    <t>CT</t>
  </si>
  <si>
    <t>Willington</t>
  </si>
  <si>
    <t>72 Eldredge Road</t>
  </si>
  <si>
    <t xml:space="preserve">Anna Marco-Cortiel </t>
  </si>
  <si>
    <t>2014/03/17, 11:01</t>
  </si>
  <si>
    <t>marc0236@umn.edu</t>
  </si>
  <si>
    <t>Anna Marco-Cortièl</t>
  </si>
  <si>
    <t>2014/03/13, 19:09</t>
  </si>
  <si>
    <t>merighi@comcast.net</t>
  </si>
  <si>
    <t>Joseph Merighi</t>
  </si>
  <si>
    <t>5600 Lincoln Dr</t>
  </si>
  <si>
    <t>Wendy Batz</t>
  </si>
  <si>
    <t>2014/03/13, 13:00</t>
  </si>
  <si>
    <t>wendybatz@msn.com</t>
  </si>
  <si>
    <t>55446-4520</t>
  </si>
  <si>
    <t>Plymouth</t>
  </si>
  <si>
    <t>5065 Everest Ln N</t>
  </si>
  <si>
    <t>melanie anderson</t>
  </si>
  <si>
    <t>2014/03/09, 08:35</t>
  </si>
  <si>
    <t>melanie.anderson08@gmail.com</t>
  </si>
  <si>
    <t>Melanie Anderson</t>
  </si>
  <si>
    <t>55125-4432</t>
  </si>
  <si>
    <t>Woodbury</t>
  </si>
  <si>
    <t>Pmb 150</t>
  </si>
  <si>
    <t>779 Bielenberg Dr Ste 107</t>
  </si>
  <si>
    <t xml:space="preserve">Anthony Velte </t>
  </si>
  <si>
    <t>2014/03/08, 13:55</t>
  </si>
  <si>
    <t>Anthony@Velte.net</t>
  </si>
  <si>
    <t>Anthony V</t>
  </si>
  <si>
    <t>Option 3 – 12x18 – Downtown Minneapolis #1</t>
  </si>
  <si>
    <t>Mike Nieland</t>
  </si>
  <si>
    <t>2014/03/07, 17:06</t>
  </si>
  <si>
    <t>mniel88@gmail.com</t>
  </si>
  <si>
    <t>Michael</t>
  </si>
  <si>
    <t>55346-2424</t>
  </si>
  <si>
    <t>Eden Prairie</t>
  </si>
  <si>
    <t>6455 Bay Dr</t>
  </si>
  <si>
    <t>Blaine Gibis</t>
  </si>
  <si>
    <t>2014/03/03, 15:55</t>
  </si>
  <si>
    <t>blaine@bracketron.com</t>
  </si>
  <si>
    <t>Option 6 – 8x10  – Downtown Minneapolis #2</t>
  </si>
  <si>
    <t>Option 3 – 8x10  – Downtown Minneapolis #1</t>
  </si>
  <si>
    <t>Option 2 – 8x10  – Grain Belt Beer</t>
  </si>
  <si>
    <t>55413-2280</t>
  </si>
  <si>
    <t>215 7th St NE Apt 101</t>
  </si>
  <si>
    <t>Dom Poulin</t>
  </si>
  <si>
    <t>2014/03/31, 23:34</t>
  </si>
  <si>
    <t>$45.00 USD</t>
  </si>
  <si>
    <t>dompoulin@gmail.com</t>
  </si>
  <si>
    <t>Dominic Poulin</t>
  </si>
  <si>
    <t>Option 9 – Bonus 8x10  – Loring Park</t>
  </si>
  <si>
    <t>Option 4 – 8x10  – Minneapolis from Loring Park</t>
  </si>
  <si>
    <t>55423-4446</t>
  </si>
  <si>
    <t>Richfield</t>
  </si>
  <si>
    <t>7420 Chicago Ave</t>
  </si>
  <si>
    <t>Alison doering</t>
  </si>
  <si>
    <t>2014/03/18, 13:31</t>
  </si>
  <si>
    <t>afdoering@gmail.com</t>
  </si>
  <si>
    <t>alison doering</t>
  </si>
  <si>
    <t>Option 1 – 8x10 – Ramp Spiral #1</t>
  </si>
  <si>
    <t>St. Louis Park</t>
  </si>
  <si>
    <t>2801 Hampshire Ave. S</t>
  </si>
  <si>
    <t>Randy Miranda</t>
  </si>
  <si>
    <t>2014/03/17, 16:42</t>
  </si>
  <si>
    <t>gatorboy316@outlook.com</t>
  </si>
  <si>
    <t>Option 7 – 8x10  – Downtown Minneapolis #3</t>
  </si>
  <si>
    <t>55446-3617</t>
  </si>
  <si>
    <t>5300 Annapolis Ln N Apt 4111</t>
  </si>
  <si>
    <t>Melani Weber</t>
  </si>
  <si>
    <t>2014/03/15, 22:34</t>
  </si>
  <si>
    <t>melvis65@msn.com</t>
  </si>
  <si>
    <t>Option 9 – 8x10  – Loring Park</t>
  </si>
  <si>
    <t>55804-1835</t>
  </si>
  <si>
    <t>Duluth</t>
  </si>
  <si>
    <t>3524 E 4th St</t>
  </si>
  <si>
    <t xml:space="preserve">kathleen maurer </t>
  </si>
  <si>
    <t>2014/03/13, 13:43</t>
  </si>
  <si>
    <t>$50.00 USD</t>
  </si>
  <si>
    <t>kbmaurer@yahoo.com</t>
  </si>
  <si>
    <t>Kathleen Maurer</t>
  </si>
  <si>
    <t>55417-2126</t>
  </si>
  <si>
    <t>5344 36th Ave S</t>
  </si>
  <si>
    <t>Earl Netwal</t>
  </si>
  <si>
    <t>2014/03/08, 13:47</t>
  </si>
  <si>
    <t>enetwal@gmail.com</t>
  </si>
  <si>
    <t>55441-4976</t>
  </si>
  <si>
    <t>10806 S Shore Dr Unit 208</t>
  </si>
  <si>
    <t>Keri Anderson</t>
  </si>
  <si>
    <t>2014/03/07, 17:55</t>
  </si>
  <si>
    <t>kanderson2@lifetimefitness.com</t>
  </si>
  <si>
    <t>55413-2449</t>
  </si>
  <si>
    <t>728 Polk St NE</t>
  </si>
  <si>
    <t>Mat Kvidera</t>
  </si>
  <si>
    <t>2014/03/07, 12:32</t>
  </si>
  <si>
    <t>mathias.kvidera@gmail.com</t>
  </si>
  <si>
    <t>Option 5 – 8x10  – Downtown Saint Paul</t>
  </si>
  <si>
    <t>Lori Norberg</t>
  </si>
  <si>
    <t>2014/03/03, 17:19</t>
  </si>
  <si>
    <t>lnorberg@bracketron.com</t>
  </si>
  <si>
    <t>2014/03/31, 19:52</t>
  </si>
  <si>
    <t>$125.00 USD</t>
  </si>
  <si>
    <t>jwuorio@css.edu</t>
  </si>
  <si>
    <t>Joel Wuorio</t>
  </si>
  <si>
    <t>Option 7 – 12x18 Wrap – Downtown Minneapolis #3</t>
  </si>
  <si>
    <t>10005-2701</t>
  </si>
  <si>
    <t>NY</t>
  </si>
  <si>
    <t>New York</t>
  </si>
  <si>
    <t>40 Exchange Pl Suite 301</t>
  </si>
  <si>
    <t>Aviv Baron</t>
  </si>
  <si>
    <t>2014/03/27, 23:22</t>
  </si>
  <si>
    <t>$150.00 USD</t>
  </si>
  <si>
    <t>floyd921@gmail.com</t>
  </si>
  <si>
    <t>2014/03/25, 22:00</t>
  </si>
  <si>
    <t>kirstie.kimball@gmail.com</t>
  </si>
  <si>
    <t>Kirstie Kimball</t>
  </si>
  <si>
    <t>55328-4549</t>
  </si>
  <si>
    <t>Delano</t>
  </si>
  <si>
    <t>798 Savanna Trl</t>
  </si>
  <si>
    <t>Dale Jensen</t>
  </si>
  <si>
    <t>2014/03/16, 17:50</t>
  </si>
  <si>
    <t>adjensen@me.com</t>
  </si>
  <si>
    <t>55405-2324</t>
  </si>
  <si>
    <t>2700 Kenilworth Pl</t>
  </si>
  <si>
    <t>Judy Meath</t>
  </si>
  <si>
    <t>2014/03/14, 11:29</t>
  </si>
  <si>
    <t>meath@umn.edu</t>
  </si>
  <si>
    <t>2014/03/31, 23:10</t>
  </si>
  <si>
    <t>$70.00 USD</t>
  </si>
  <si>
    <t>cpelarski@gmail.com</t>
  </si>
  <si>
    <t>Chad Pelarski</t>
  </si>
  <si>
    <t>Option 8 – 11x14 – Target HQ</t>
  </si>
  <si>
    <t>55417-2532</t>
  </si>
  <si>
    <t>5619 14th Ave S</t>
  </si>
  <si>
    <t>Karin Broecker</t>
  </si>
  <si>
    <t>2014/03/29, 17:38</t>
  </si>
  <si>
    <t>karinanne@gmail.com</t>
  </si>
  <si>
    <t>55408-3299</t>
  </si>
  <si>
    <t>3121 Grand Ave S Apt 2</t>
  </si>
  <si>
    <t>Mike Kroulik</t>
  </si>
  <si>
    <t>2014/03/18, 13:06</t>
  </si>
  <si>
    <t>mike.kroulik@gmail.com</t>
  </si>
  <si>
    <t>Mike</t>
  </si>
  <si>
    <t>55104-7314</t>
  </si>
  <si>
    <t>1685 Taylor Ave W</t>
  </si>
  <si>
    <t>Jessica Buchberger</t>
  </si>
  <si>
    <t>2014/03/17, 12:22</t>
  </si>
  <si>
    <t>jm.buchberger@gmail.com</t>
  </si>
  <si>
    <t>Option 1 – 11x14 – Ramp Spiral #1</t>
  </si>
  <si>
    <t>4332 Abbott Ave. S.</t>
  </si>
  <si>
    <t>Devin Davies</t>
  </si>
  <si>
    <t>2014/03/14, 12:12</t>
  </si>
  <si>
    <t>devin@ed-design.biz</t>
  </si>
  <si>
    <t>55449-5596</t>
  </si>
  <si>
    <t>2401 121st Cir NE Unit F</t>
  </si>
  <si>
    <t>Peter Fox</t>
  </si>
  <si>
    <t>2014/03/11, 17:19</t>
  </si>
  <si>
    <t>peterfox@email.com</t>
  </si>
  <si>
    <t>55418-4705</t>
  </si>
  <si>
    <t>1929 Arthur St NE</t>
  </si>
  <si>
    <t>Tyler Kilbury</t>
  </si>
  <si>
    <t>2014/03/07, 15:29</t>
  </si>
  <si>
    <t>tkilbury@gmail.com</t>
  </si>
  <si>
    <t>Option 6 – 11x14 – Downtown Minneapolis #2</t>
  </si>
  <si>
    <t>55441-1715</t>
  </si>
  <si>
    <t>3945 Lancaster Ln N Apt 136</t>
  </si>
  <si>
    <t>garrett haugstad</t>
  </si>
  <si>
    <t>2014/03/07, 12:33</t>
  </si>
  <si>
    <t>ghaugstad@lifetimefitness.com</t>
  </si>
  <si>
    <t>Garrett Haugstad</t>
  </si>
  <si>
    <t>summer or fall - open</t>
  </si>
  <si>
    <t>Tony - up the shore ideas - canoe on lake shot - Superior Hk Tr - Oberg Mountain or ??</t>
  </si>
  <si>
    <t>Option 5 – Bonus 8x10 – Downtown Saint Paul</t>
  </si>
  <si>
    <t>Option 9 – 11x14 – Loring Park</t>
  </si>
  <si>
    <t>Steve Piper-Maurer</t>
  </si>
  <si>
    <t>2014/03/14, 08:53</t>
  </si>
  <si>
    <t>$250.00 USD</t>
  </si>
  <si>
    <t>stevepm01@gmail.com</t>
  </si>
  <si>
    <t>N/A</t>
  </si>
  <si>
    <t>Kane Lake</t>
  </si>
  <si>
    <t>55616-1204</t>
  </si>
  <si>
    <t>Two Harbors</t>
  </si>
  <si>
    <t>526 17th Ave</t>
  </si>
  <si>
    <t>Eugene Gustafson</t>
  </si>
  <si>
    <t>2014/03/08, 21:10</t>
  </si>
  <si>
    <t>ggustafson09@gmail.com</t>
  </si>
  <si>
    <t>Gwenne L Gustafson</t>
  </si>
  <si>
    <t>Summer  I'll look at photos below also.</t>
  </si>
  <si>
    <t>We will talk.</t>
  </si>
  <si>
    <t>Option 4 – Bonus 8x10 – Minneapolis from Loring Park</t>
  </si>
  <si>
    <t>Option 10 – 11x14 – Ramp Spiral #2</t>
  </si>
  <si>
    <t>55804-1956</t>
  </si>
  <si>
    <t>4008 Pitt St</t>
  </si>
  <si>
    <t>Jonathan Koop</t>
  </si>
  <si>
    <t>2014/03/08, 13:06</t>
  </si>
  <si>
    <t>jonhkoop@gmail.com</t>
  </si>
  <si>
    <t>Cabin or maybe new house on Lester Street</t>
  </si>
  <si>
    <t>Gayle Koop</t>
  </si>
  <si>
    <t>2014/03/07, 12:30</t>
  </si>
  <si>
    <t>gaylekoop@gmail.com</t>
  </si>
  <si>
    <t>Please Indicate A Date For The Aerial Photo Shoot. If You Are Unsure, Write N/A. Not Before June 1st.</t>
  </si>
  <si>
    <t>Please Indicate Where You Would Like To Have Your Aerial Photo Shoot Taken. If You Are Unsure, Write N/A. There's Still Plenty Of Time To Discuss The Details.</t>
  </si>
  <si>
    <t>2014/03/18, 10:09</t>
  </si>
  <si>
    <t>$325.00 USD</t>
  </si>
  <si>
    <t>diver205@hotmail.com</t>
  </si>
  <si>
    <t>Andrew John Morrison</t>
  </si>
  <si>
    <t>Option 8 – 12x18 – Target HQ</t>
  </si>
  <si>
    <t>July - NOT July 17-23</t>
  </si>
  <si>
    <t>Fargo-Moorhead area</t>
  </si>
  <si>
    <t>58103-7144</t>
  </si>
  <si>
    <t>ND</t>
  </si>
  <si>
    <t>Fargo</t>
  </si>
  <si>
    <t>2001 44th St S</t>
  </si>
  <si>
    <t>Fargo-Moorhead Convention &amp; Visitors Bureau</t>
  </si>
  <si>
    <t>2014/03/20, 09:39</t>
  </si>
  <si>
    <t>$350.00 USD</t>
  </si>
  <si>
    <t>danellaj1@gmail.com</t>
  </si>
  <si>
    <t>Danella Myers</t>
  </si>
  <si>
    <t>Please Indicate A Date For The Aerial Video Shoot. If You Are Unsure, Write N/A. Not Before July 1st</t>
  </si>
  <si>
    <t>Please Indicate Where You Would Like To Have Your Aerial Video Shoot Taken. If You Are Unsure, Write N/A. There's Still Plenty Of Time To Discuss The Details.</t>
  </si>
  <si>
    <t>2014/03/31, 11:02</t>
  </si>
  <si>
    <t>$2.00 USD</t>
  </si>
  <si>
    <t>justin@lunedeloup.com</t>
  </si>
  <si>
    <t>Justin Jones</t>
  </si>
  <si>
    <t>2014/03/30, 16:26</t>
  </si>
  <si>
    <t>$1.00 USD</t>
  </si>
  <si>
    <t>christopher.denise@gmail.com</t>
  </si>
  <si>
    <t>Christopher Denise</t>
  </si>
  <si>
    <t>2014/03/30, 14:53</t>
  </si>
  <si>
    <t>soliswg@hotmail.com</t>
  </si>
  <si>
    <t>Bill Garcia Solis</t>
  </si>
  <si>
    <t>2014/03/27, 19:15</t>
  </si>
  <si>
    <t>$6.00 USD</t>
  </si>
  <si>
    <t>awindels2002@yahoo.com</t>
  </si>
  <si>
    <t>Aaron Windels</t>
  </si>
  <si>
    <t>2014/03/26, 14:26</t>
  </si>
  <si>
    <t>$200.00 USD</t>
  </si>
  <si>
    <t>schum207@umn.edu</t>
  </si>
  <si>
    <t>Mike Schumacher</t>
  </si>
  <si>
    <t>2014/03/26, 04:31</t>
  </si>
  <si>
    <t>brlmnd@yahoo.com</t>
  </si>
  <si>
    <t>Adrian Moga</t>
  </si>
  <si>
    <t>2014/03/20, 20:34</t>
  </si>
  <si>
    <t>donahue3@umbc.edu</t>
  </si>
  <si>
    <t>Thomas Donahue</t>
  </si>
  <si>
    <t>2014/03/18, 03:36</t>
  </si>
  <si>
    <t>kodeecahill94@yahoo.com</t>
  </si>
  <si>
    <t>Kodee Cahill</t>
  </si>
  <si>
    <t>2014/03/16, 17:33</t>
  </si>
  <si>
    <t>graeme@thickins.com</t>
  </si>
  <si>
    <t>Graeme Thickins</t>
  </si>
  <si>
    <t>2014/03/16, 14:50</t>
  </si>
  <si>
    <t>robfargo@gmail.com</t>
  </si>
  <si>
    <t>Rob Davis</t>
  </si>
  <si>
    <t>2014/03/14, 10:49</t>
  </si>
  <si>
    <t>generalmonk@hotmail.com</t>
  </si>
  <si>
    <t>Mitchell Williams</t>
  </si>
  <si>
    <t>2014/03/08, 00:39</t>
  </si>
  <si>
    <t>wearley.magicjester@gmail.com</t>
  </si>
  <si>
    <t>William Earley</t>
  </si>
  <si>
    <t>2014/03/07, 20:17</t>
  </si>
  <si>
    <t>$10.00 USD</t>
  </si>
  <si>
    <t>sophia.ceulemans@gmail.com</t>
  </si>
  <si>
    <t>Sophia Ceulemans</t>
  </si>
  <si>
    <t>2014/03/07, 15:30</t>
  </si>
  <si>
    <t>awuorio@gmail.com</t>
  </si>
  <si>
    <t>Allise Wuorio</t>
  </si>
  <si>
    <t>Wedding Shoot this summer</t>
  </si>
  <si>
    <t>12x18</t>
  </si>
  <si>
    <t>11x14</t>
  </si>
  <si>
    <t>8x10</t>
  </si>
  <si>
    <t>Canvas</t>
  </si>
  <si>
    <t>Totals</t>
  </si>
  <si>
    <t>Paypal</t>
  </si>
  <si>
    <t>Mike DiScala</t>
  </si>
  <si>
    <t>Option 11 – Bonus 8x10  – The Secret Option</t>
  </si>
  <si>
    <t>x</t>
  </si>
  <si>
    <t>Printed</t>
  </si>
  <si>
    <t>filled</t>
  </si>
  <si>
    <t>filed</t>
  </si>
  <si>
    <t>downtown 2</t>
  </si>
  <si>
    <t>metrodome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</si>
</sst>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opLeftCell="O1" workbookViewId="0">
      <pane ySplit="1" topLeftCell="A2" activePane="bottomLeft" state="frozen"/>
      <selection activeCell="D1" sqref="D1"/>
      <selection pane="bottomLeft" activeCell="T15" sqref="T15"/>
    </sheetView>
  </sheetViews>
  <sheetFormatPr defaultRowHeight="15" x14ac:dyDescent="0.25"/>
  <cols>
    <col min="11" max="11" width="17" bestFit="1" customWidth="1"/>
    <col min="12" max="12" width="24" bestFit="1" customWidth="1"/>
    <col min="13" max="13" width="18" bestFit="1" customWidth="1"/>
    <col min="19" max="19" width="36.85546875" bestFit="1" customWidth="1"/>
    <col min="20" max="20" width="44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135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134</v>
      </c>
      <c r="L1" t="s">
        <v>133</v>
      </c>
      <c r="M1" t="s">
        <v>132</v>
      </c>
      <c r="N1" t="s">
        <v>131</v>
      </c>
      <c r="O1" t="s">
        <v>130</v>
      </c>
      <c r="P1" t="s">
        <v>129</v>
      </c>
      <c r="Q1" t="s">
        <v>128</v>
      </c>
      <c r="R1" t="s">
        <v>127</v>
      </c>
      <c r="S1" t="s">
        <v>126</v>
      </c>
      <c r="T1" t="s">
        <v>126</v>
      </c>
    </row>
    <row r="2" spans="1:21" x14ac:dyDescent="0.25">
      <c r="A2">
        <v>6</v>
      </c>
      <c r="B2" t="s">
        <v>123</v>
      </c>
      <c r="C2" t="s">
        <v>125</v>
      </c>
      <c r="D2" t="s">
        <v>21</v>
      </c>
      <c r="E2" t="s">
        <v>20</v>
      </c>
      <c r="G2" t="s">
        <v>124</v>
      </c>
      <c r="H2" t="s">
        <v>9</v>
      </c>
      <c r="J2" s="1">
        <v>41732.677557870367</v>
      </c>
      <c r="K2" t="s">
        <v>123</v>
      </c>
      <c r="L2" t="s">
        <v>122</v>
      </c>
      <c r="N2" t="s">
        <v>121</v>
      </c>
      <c r="O2" t="s">
        <v>26</v>
      </c>
      <c r="P2" t="s">
        <v>120</v>
      </c>
      <c r="Q2" t="s">
        <v>13</v>
      </c>
      <c r="R2" t="s">
        <v>12</v>
      </c>
      <c r="S2" t="s">
        <v>24</v>
      </c>
      <c r="T2" t="s">
        <v>10</v>
      </c>
      <c r="U2" t="s">
        <v>577</v>
      </c>
    </row>
    <row r="3" spans="1:21" x14ac:dyDescent="0.25">
      <c r="A3">
        <v>10</v>
      </c>
      <c r="B3" t="s">
        <v>119</v>
      </c>
      <c r="C3" t="s">
        <v>118</v>
      </c>
      <c r="D3" t="s">
        <v>21</v>
      </c>
      <c r="E3" t="s">
        <v>20</v>
      </c>
      <c r="G3" t="s">
        <v>117</v>
      </c>
      <c r="H3" t="s">
        <v>9</v>
      </c>
      <c r="J3" s="1">
        <v>41730.661689814813</v>
      </c>
      <c r="K3" t="s">
        <v>116</v>
      </c>
      <c r="L3" t="s">
        <v>115</v>
      </c>
      <c r="N3" t="s">
        <v>114</v>
      </c>
      <c r="O3" t="s">
        <v>26</v>
      </c>
      <c r="P3" t="s">
        <v>113</v>
      </c>
      <c r="Q3" t="s">
        <v>13</v>
      </c>
      <c r="R3" t="s">
        <v>12</v>
      </c>
      <c r="S3" t="s">
        <v>62</v>
      </c>
      <c r="T3" t="s">
        <v>112</v>
      </c>
      <c r="U3" t="s">
        <v>577</v>
      </c>
    </row>
    <row r="4" spans="1:21" x14ac:dyDescent="0.25">
      <c r="A4">
        <v>26</v>
      </c>
      <c r="B4" t="s">
        <v>109</v>
      </c>
      <c r="C4" t="s">
        <v>111</v>
      </c>
      <c r="D4" t="s">
        <v>21</v>
      </c>
      <c r="E4" t="s">
        <v>20</v>
      </c>
      <c r="G4" t="s">
        <v>110</v>
      </c>
      <c r="H4" t="s">
        <v>9</v>
      </c>
      <c r="J4" s="1">
        <v>41734.65347222222</v>
      </c>
      <c r="K4" t="s">
        <v>109</v>
      </c>
      <c r="L4" t="s">
        <v>108</v>
      </c>
      <c r="N4" t="s">
        <v>87</v>
      </c>
      <c r="O4" t="s">
        <v>26</v>
      </c>
      <c r="P4" t="s">
        <v>107</v>
      </c>
      <c r="Q4" t="s">
        <v>13</v>
      </c>
      <c r="R4" t="s">
        <v>12</v>
      </c>
      <c r="S4" t="s">
        <v>69</v>
      </c>
      <c r="T4" t="s">
        <v>61</v>
      </c>
      <c r="U4" t="s">
        <v>577</v>
      </c>
    </row>
    <row r="5" spans="1:21" x14ac:dyDescent="0.25">
      <c r="A5">
        <v>27</v>
      </c>
      <c r="B5" t="s">
        <v>106</v>
      </c>
      <c r="C5" t="s">
        <v>105</v>
      </c>
      <c r="D5" t="s">
        <v>21</v>
      </c>
      <c r="E5" t="s">
        <v>20</v>
      </c>
      <c r="G5" t="s">
        <v>104</v>
      </c>
      <c r="H5" t="s">
        <v>9</v>
      </c>
    </row>
    <row r="6" spans="1:21" x14ac:dyDescent="0.25">
      <c r="A6">
        <v>29</v>
      </c>
      <c r="B6" t="s">
        <v>100</v>
      </c>
      <c r="C6" t="s">
        <v>103</v>
      </c>
      <c r="D6" t="s">
        <v>21</v>
      </c>
      <c r="E6" t="s">
        <v>102</v>
      </c>
      <c r="G6" t="s">
        <v>101</v>
      </c>
      <c r="H6" t="s">
        <v>9</v>
      </c>
      <c r="J6" s="1">
        <v>41734.830462962964</v>
      </c>
      <c r="K6" t="s">
        <v>100</v>
      </c>
      <c r="L6" t="s">
        <v>99</v>
      </c>
      <c r="N6" t="s">
        <v>98</v>
      </c>
      <c r="O6" t="s">
        <v>26</v>
      </c>
      <c r="P6" t="s">
        <v>97</v>
      </c>
      <c r="Q6" t="s">
        <v>13</v>
      </c>
      <c r="R6" t="s">
        <v>12</v>
      </c>
      <c r="S6" t="s">
        <v>24</v>
      </c>
      <c r="T6" t="s">
        <v>61</v>
      </c>
      <c r="U6" t="s">
        <v>577</v>
      </c>
    </row>
    <row r="7" spans="1:21" x14ac:dyDescent="0.25">
      <c r="A7">
        <v>37</v>
      </c>
      <c r="B7" t="s">
        <v>94</v>
      </c>
      <c r="C7" t="s">
        <v>96</v>
      </c>
      <c r="D7" t="s">
        <v>21</v>
      </c>
      <c r="E7" t="s">
        <v>20</v>
      </c>
      <c r="G7" t="s">
        <v>95</v>
      </c>
      <c r="H7" t="s">
        <v>9</v>
      </c>
      <c r="J7" s="1">
        <v>41730.767013888886</v>
      </c>
      <c r="K7" t="s">
        <v>94</v>
      </c>
      <c r="L7" t="s">
        <v>93</v>
      </c>
      <c r="N7" t="s">
        <v>27</v>
      </c>
      <c r="O7" t="s">
        <v>26</v>
      </c>
      <c r="P7" t="s">
        <v>92</v>
      </c>
      <c r="Q7" t="s">
        <v>13</v>
      </c>
      <c r="R7" t="s">
        <v>12</v>
      </c>
      <c r="S7" t="s">
        <v>24</v>
      </c>
      <c r="T7" t="s">
        <v>10</v>
      </c>
      <c r="U7" t="s">
        <v>577</v>
      </c>
    </row>
    <row r="8" spans="1:21" x14ac:dyDescent="0.25">
      <c r="A8">
        <v>48</v>
      </c>
      <c r="B8" t="s">
        <v>89</v>
      </c>
      <c r="C8" t="s">
        <v>91</v>
      </c>
      <c r="D8" t="s">
        <v>21</v>
      </c>
      <c r="E8" t="s">
        <v>20</v>
      </c>
      <c r="G8" t="s">
        <v>90</v>
      </c>
      <c r="H8" t="s">
        <v>9</v>
      </c>
      <c r="J8" s="1">
        <v>41731.813043981485</v>
      </c>
      <c r="K8" t="s">
        <v>89</v>
      </c>
      <c r="L8" t="s">
        <v>88</v>
      </c>
      <c r="N8" t="s">
        <v>87</v>
      </c>
      <c r="O8" t="s">
        <v>26</v>
      </c>
      <c r="P8" t="s">
        <v>86</v>
      </c>
      <c r="Q8" t="s">
        <v>13</v>
      </c>
      <c r="R8" t="s">
        <v>12</v>
      </c>
      <c r="S8" t="s">
        <v>85</v>
      </c>
      <c r="T8" t="s">
        <v>10</v>
      </c>
      <c r="U8" t="s">
        <v>577</v>
      </c>
    </row>
    <row r="9" spans="1:21" x14ac:dyDescent="0.25">
      <c r="A9">
        <v>49</v>
      </c>
      <c r="B9" t="s">
        <v>82</v>
      </c>
      <c r="C9" t="s">
        <v>84</v>
      </c>
      <c r="D9" t="s">
        <v>21</v>
      </c>
      <c r="E9" t="s">
        <v>20</v>
      </c>
      <c r="G9" t="s">
        <v>83</v>
      </c>
      <c r="H9" t="s">
        <v>9</v>
      </c>
      <c r="J9" s="1">
        <v>41730.62572916667</v>
      </c>
      <c r="K9" t="s">
        <v>82</v>
      </c>
      <c r="L9" t="s">
        <v>81</v>
      </c>
      <c r="N9" t="s">
        <v>80</v>
      </c>
      <c r="O9" t="s">
        <v>79</v>
      </c>
      <c r="P9" t="s">
        <v>78</v>
      </c>
      <c r="Q9" t="s">
        <v>13</v>
      </c>
      <c r="R9" t="s">
        <v>12</v>
      </c>
      <c r="S9" t="s">
        <v>77</v>
      </c>
      <c r="T9" t="s">
        <v>10</v>
      </c>
      <c r="U9" t="s">
        <v>577</v>
      </c>
    </row>
    <row r="10" spans="1:21" x14ac:dyDescent="0.25">
      <c r="A10">
        <v>52</v>
      </c>
      <c r="B10" t="s">
        <v>76</v>
      </c>
      <c r="C10" t="s">
        <v>75</v>
      </c>
      <c r="D10" t="s">
        <v>21</v>
      </c>
      <c r="E10" t="s">
        <v>20</v>
      </c>
      <c r="G10" t="s">
        <v>74</v>
      </c>
      <c r="H10" t="s">
        <v>9</v>
      </c>
      <c r="J10" s="1">
        <v>41732.861851851849</v>
      </c>
      <c r="K10" t="s">
        <v>73</v>
      </c>
      <c r="L10" t="s">
        <v>72</v>
      </c>
      <c r="N10" t="s">
        <v>71</v>
      </c>
      <c r="O10" t="s">
        <v>26</v>
      </c>
      <c r="P10" t="s">
        <v>70</v>
      </c>
      <c r="Q10" t="s">
        <v>13</v>
      </c>
      <c r="R10" t="s">
        <v>12</v>
      </c>
      <c r="S10" t="s">
        <v>69</v>
      </c>
      <c r="T10" t="s">
        <v>61</v>
      </c>
      <c r="U10" t="s">
        <v>577</v>
      </c>
    </row>
    <row r="11" spans="1:21" x14ac:dyDescent="0.25">
      <c r="A11">
        <v>57</v>
      </c>
      <c r="B11" t="s">
        <v>66</v>
      </c>
      <c r="C11" t="s">
        <v>68</v>
      </c>
      <c r="D11" t="s">
        <v>21</v>
      </c>
      <c r="E11" t="s">
        <v>20</v>
      </c>
      <c r="G11" t="s">
        <v>67</v>
      </c>
      <c r="H11" t="s">
        <v>9</v>
      </c>
      <c r="J11" s="1">
        <v>41732.959768518522</v>
      </c>
      <c r="K11" t="s">
        <v>66</v>
      </c>
      <c r="L11" t="s">
        <v>65</v>
      </c>
      <c r="N11" t="s">
        <v>64</v>
      </c>
      <c r="O11" t="s">
        <v>26</v>
      </c>
      <c r="P11" t="s">
        <v>63</v>
      </c>
      <c r="Q11" t="s">
        <v>13</v>
      </c>
      <c r="R11" t="s">
        <v>12</v>
      </c>
      <c r="S11" t="s">
        <v>62</v>
      </c>
      <c r="T11" t="s">
        <v>61</v>
      </c>
      <c r="U11" t="s">
        <v>577</v>
      </c>
    </row>
    <row r="12" spans="1:21" x14ac:dyDescent="0.25">
      <c r="A12">
        <v>73</v>
      </c>
      <c r="B12" t="s">
        <v>58</v>
      </c>
      <c r="C12" t="s">
        <v>60</v>
      </c>
      <c r="D12" t="s">
        <v>21</v>
      </c>
      <c r="E12" t="s">
        <v>20</v>
      </c>
      <c r="G12" t="s">
        <v>59</v>
      </c>
      <c r="H12" t="s">
        <v>9</v>
      </c>
      <c r="J12" s="1">
        <v>41738.743703703702</v>
      </c>
      <c r="K12" t="s">
        <v>58</v>
      </c>
      <c r="L12" t="s">
        <v>57</v>
      </c>
      <c r="N12" t="s">
        <v>56</v>
      </c>
      <c r="O12" t="s">
        <v>26</v>
      </c>
      <c r="P12" t="s">
        <v>55</v>
      </c>
      <c r="Q12" t="s">
        <v>13</v>
      </c>
      <c r="R12" t="s">
        <v>12</v>
      </c>
      <c r="S12" t="s">
        <v>40</v>
      </c>
      <c r="T12" t="s">
        <v>10</v>
      </c>
      <c r="U12" t="s">
        <v>577</v>
      </c>
    </row>
    <row r="13" spans="1:21" x14ac:dyDescent="0.25">
      <c r="A13">
        <v>74</v>
      </c>
      <c r="B13" t="s">
        <v>52</v>
      </c>
      <c r="C13" t="s">
        <v>54</v>
      </c>
      <c r="D13" t="s">
        <v>21</v>
      </c>
      <c r="E13" t="s">
        <v>20</v>
      </c>
      <c r="G13" t="s">
        <v>53</v>
      </c>
      <c r="H13" t="s">
        <v>9</v>
      </c>
      <c r="J13" s="1">
        <v>41730.686956018515</v>
      </c>
      <c r="K13" t="s">
        <v>52</v>
      </c>
      <c r="L13" t="s">
        <v>51</v>
      </c>
      <c r="N13" t="s">
        <v>50</v>
      </c>
      <c r="O13" t="s">
        <v>26</v>
      </c>
      <c r="P13" t="s">
        <v>49</v>
      </c>
      <c r="Q13" t="s">
        <v>13</v>
      </c>
      <c r="R13" t="s">
        <v>12</v>
      </c>
      <c r="S13" t="s">
        <v>40</v>
      </c>
      <c r="T13" t="s">
        <v>10</v>
      </c>
      <c r="U13" t="s">
        <v>577</v>
      </c>
    </row>
    <row r="14" spans="1:21" x14ac:dyDescent="0.25">
      <c r="A14">
        <v>78</v>
      </c>
      <c r="B14" t="s">
        <v>48</v>
      </c>
      <c r="C14" t="s">
        <v>47</v>
      </c>
      <c r="D14" t="s">
        <v>21</v>
      </c>
      <c r="E14" t="s">
        <v>20</v>
      </c>
      <c r="G14" t="s">
        <v>46</v>
      </c>
      <c r="H14" t="s">
        <v>9</v>
      </c>
      <c r="J14" s="1">
        <v>41730.79824074074</v>
      </c>
      <c r="K14" t="s">
        <v>45</v>
      </c>
      <c r="L14" t="s">
        <v>44</v>
      </c>
      <c r="N14" t="s">
        <v>43</v>
      </c>
      <c r="O14" t="s">
        <v>42</v>
      </c>
      <c r="P14" t="s">
        <v>41</v>
      </c>
      <c r="Q14" t="s">
        <v>13</v>
      </c>
      <c r="R14" t="s">
        <v>12</v>
      </c>
      <c r="S14" t="s">
        <v>40</v>
      </c>
      <c r="T14" t="s">
        <v>39</v>
      </c>
      <c r="U14" t="s">
        <v>577</v>
      </c>
    </row>
    <row r="15" spans="1:21" x14ac:dyDescent="0.25">
      <c r="A15">
        <v>85</v>
      </c>
      <c r="B15" t="s">
        <v>36</v>
      </c>
      <c r="C15" t="s">
        <v>38</v>
      </c>
      <c r="D15" t="s">
        <v>21</v>
      </c>
      <c r="E15" t="s">
        <v>20</v>
      </c>
      <c r="G15" t="s">
        <v>37</v>
      </c>
      <c r="H15" t="s">
        <v>9</v>
      </c>
      <c r="J15" s="1">
        <v>41731.781111111108</v>
      </c>
      <c r="K15" t="s">
        <v>36</v>
      </c>
      <c r="L15" t="s">
        <v>35</v>
      </c>
      <c r="N15" t="s">
        <v>27</v>
      </c>
      <c r="O15" t="s">
        <v>26</v>
      </c>
      <c r="P15" t="s">
        <v>34</v>
      </c>
      <c r="Q15" t="s">
        <v>13</v>
      </c>
      <c r="R15" t="s">
        <v>12</v>
      </c>
      <c r="S15" t="s">
        <v>33</v>
      </c>
      <c r="T15" t="s">
        <v>23</v>
      </c>
      <c r="U15" t="s">
        <v>577</v>
      </c>
    </row>
    <row r="16" spans="1:21" x14ac:dyDescent="0.25">
      <c r="A16">
        <v>86</v>
      </c>
      <c r="B16" t="s">
        <v>32</v>
      </c>
      <c r="C16" t="s">
        <v>31</v>
      </c>
      <c r="D16" t="s">
        <v>21</v>
      </c>
      <c r="E16" t="s">
        <v>20</v>
      </c>
      <c r="G16" t="s">
        <v>30</v>
      </c>
      <c r="H16" t="s">
        <v>9</v>
      </c>
      <c r="J16" s="1">
        <v>41733.651273148149</v>
      </c>
      <c r="K16" t="s">
        <v>29</v>
      </c>
      <c r="L16" t="s">
        <v>28</v>
      </c>
      <c r="N16" t="s">
        <v>27</v>
      </c>
      <c r="O16" t="s">
        <v>26</v>
      </c>
      <c r="P16" t="s">
        <v>25</v>
      </c>
      <c r="Q16" t="s">
        <v>13</v>
      </c>
      <c r="R16" t="s">
        <v>12</v>
      </c>
      <c r="S16" t="s">
        <v>24</v>
      </c>
      <c r="T16" t="s">
        <v>23</v>
      </c>
      <c r="U16" t="s">
        <v>577</v>
      </c>
    </row>
    <row r="17" spans="1:21" x14ac:dyDescent="0.25">
      <c r="A17">
        <v>95</v>
      </c>
      <c r="B17" t="s">
        <v>18</v>
      </c>
      <c r="C17" t="s">
        <v>22</v>
      </c>
      <c r="D17" t="s">
        <v>21</v>
      </c>
      <c r="E17" t="s">
        <v>20</v>
      </c>
      <c r="G17" t="s">
        <v>19</v>
      </c>
      <c r="H17" t="s">
        <v>9</v>
      </c>
      <c r="J17" s="1">
        <v>41731.068888888891</v>
      </c>
      <c r="K17" t="s">
        <v>18</v>
      </c>
      <c r="L17" t="s">
        <v>17</v>
      </c>
      <c r="N17" t="s">
        <v>16</v>
      </c>
      <c r="O17" t="s">
        <v>15</v>
      </c>
      <c r="P17" t="s">
        <v>14</v>
      </c>
      <c r="Q17" t="s">
        <v>13</v>
      </c>
      <c r="R17" t="s">
        <v>12</v>
      </c>
      <c r="S17" t="s">
        <v>11</v>
      </c>
      <c r="T17" t="s">
        <v>10</v>
      </c>
      <c r="U17" t="s"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V11" sqref="V11"/>
    </sheetView>
  </sheetViews>
  <sheetFormatPr defaultRowHeight="15" x14ac:dyDescent="0.25"/>
  <cols>
    <col min="11" max="11" width="15.42578125" bestFit="1" customWidth="1"/>
    <col min="19" max="19" width="41.85546875" bestFit="1" customWidth="1"/>
    <col min="20" max="20" width="47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135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134</v>
      </c>
      <c r="L1" t="s">
        <v>133</v>
      </c>
      <c r="M1" t="s">
        <v>132</v>
      </c>
      <c r="N1" t="s">
        <v>131</v>
      </c>
      <c r="O1" t="s">
        <v>130</v>
      </c>
      <c r="P1" t="s">
        <v>129</v>
      </c>
      <c r="Q1" t="s">
        <v>128</v>
      </c>
      <c r="R1" t="s">
        <v>127</v>
      </c>
      <c r="S1" t="s">
        <v>126</v>
      </c>
      <c r="T1" t="s">
        <v>126</v>
      </c>
    </row>
    <row r="2" spans="1:21" x14ac:dyDescent="0.25">
      <c r="A2">
        <v>2</v>
      </c>
      <c r="B2" t="s">
        <v>194</v>
      </c>
      <c r="C2" t="s">
        <v>196</v>
      </c>
      <c r="D2" t="s">
        <v>21</v>
      </c>
      <c r="E2" t="s">
        <v>142</v>
      </c>
      <c r="G2" t="s">
        <v>195</v>
      </c>
      <c r="H2" t="s">
        <v>9</v>
      </c>
      <c r="J2" s="1">
        <v>41731.3434375</v>
      </c>
      <c r="K2" t="s">
        <v>194</v>
      </c>
      <c r="L2" t="s">
        <v>193</v>
      </c>
      <c r="N2" t="s">
        <v>27</v>
      </c>
      <c r="O2" t="s">
        <v>26</v>
      </c>
      <c r="P2" t="s">
        <v>192</v>
      </c>
      <c r="Q2" t="s">
        <v>13</v>
      </c>
      <c r="R2" t="s">
        <v>12</v>
      </c>
      <c r="S2" t="s">
        <v>159</v>
      </c>
      <c r="T2" t="s">
        <v>179</v>
      </c>
      <c r="U2" t="s">
        <v>577</v>
      </c>
    </row>
    <row r="3" spans="1:21" x14ac:dyDescent="0.25">
      <c r="A3">
        <v>3</v>
      </c>
      <c r="B3" t="s">
        <v>188</v>
      </c>
      <c r="C3" t="s">
        <v>191</v>
      </c>
      <c r="D3" t="s">
        <v>21</v>
      </c>
      <c r="E3" t="s">
        <v>190</v>
      </c>
      <c r="G3" t="s">
        <v>189</v>
      </c>
      <c r="H3" t="s">
        <v>9</v>
      </c>
      <c r="J3" s="1">
        <v>41732.494988425926</v>
      </c>
      <c r="K3" t="s">
        <v>188</v>
      </c>
      <c r="L3" t="s">
        <v>187</v>
      </c>
      <c r="N3" t="s">
        <v>27</v>
      </c>
      <c r="O3" t="s">
        <v>26</v>
      </c>
      <c r="P3" t="s">
        <v>186</v>
      </c>
      <c r="Q3" t="s">
        <v>13</v>
      </c>
      <c r="R3" t="s">
        <v>12</v>
      </c>
      <c r="S3" t="s">
        <v>159</v>
      </c>
      <c r="T3" t="s">
        <v>144</v>
      </c>
      <c r="U3" t="s">
        <v>577</v>
      </c>
    </row>
    <row r="4" spans="1:21" x14ac:dyDescent="0.25">
      <c r="A4">
        <v>8</v>
      </c>
      <c r="B4" t="s">
        <v>183</v>
      </c>
      <c r="C4" t="s">
        <v>185</v>
      </c>
      <c r="D4" t="s">
        <v>21</v>
      </c>
      <c r="E4" t="s">
        <v>142</v>
      </c>
      <c r="G4" t="s">
        <v>184</v>
      </c>
      <c r="H4" t="s">
        <v>9</v>
      </c>
      <c r="J4" s="1">
        <v>41731.32540509259</v>
      </c>
      <c r="K4" t="s">
        <v>183</v>
      </c>
      <c r="L4" t="s">
        <v>182</v>
      </c>
      <c r="N4" t="s">
        <v>181</v>
      </c>
      <c r="O4" t="s">
        <v>26</v>
      </c>
      <c r="P4" t="s">
        <v>180</v>
      </c>
      <c r="Q4" t="s">
        <v>13</v>
      </c>
      <c r="R4" t="s">
        <v>12</v>
      </c>
      <c r="S4" t="s">
        <v>137</v>
      </c>
      <c r="T4" t="s">
        <v>179</v>
      </c>
      <c r="U4" t="s">
        <v>577</v>
      </c>
    </row>
    <row r="5" spans="1:21" x14ac:dyDescent="0.25">
      <c r="A5">
        <v>9</v>
      </c>
      <c r="B5" t="s">
        <v>178</v>
      </c>
      <c r="C5" t="s">
        <v>177</v>
      </c>
      <c r="D5" t="s">
        <v>21</v>
      </c>
      <c r="E5" t="s">
        <v>142</v>
      </c>
      <c r="G5" t="s">
        <v>176</v>
      </c>
      <c r="H5" t="s">
        <v>9</v>
      </c>
      <c r="J5" s="1">
        <v>41730.639641203707</v>
      </c>
      <c r="K5" t="s">
        <v>175</v>
      </c>
      <c r="L5" t="s">
        <v>174</v>
      </c>
      <c r="N5" t="s">
        <v>173</v>
      </c>
      <c r="O5" t="s">
        <v>26</v>
      </c>
      <c r="P5" t="s">
        <v>172</v>
      </c>
      <c r="Q5" t="s">
        <v>13</v>
      </c>
      <c r="R5" t="s">
        <v>12</v>
      </c>
      <c r="S5" t="s">
        <v>137</v>
      </c>
      <c r="T5" t="s">
        <v>171</v>
      </c>
      <c r="U5" t="s">
        <v>577</v>
      </c>
    </row>
    <row r="6" spans="1:21" x14ac:dyDescent="0.25">
      <c r="A6">
        <v>43</v>
      </c>
      <c r="B6" t="s">
        <v>170</v>
      </c>
      <c r="C6" t="s">
        <v>169</v>
      </c>
      <c r="D6" t="s">
        <v>21</v>
      </c>
      <c r="E6" t="s">
        <v>142</v>
      </c>
      <c r="G6" t="s">
        <v>168</v>
      </c>
      <c r="H6" t="s">
        <v>9</v>
      </c>
      <c r="J6" s="1">
        <v>41730.642812500002</v>
      </c>
      <c r="K6" t="s">
        <v>167</v>
      </c>
      <c r="L6" t="s">
        <v>166</v>
      </c>
      <c r="N6" t="s">
        <v>56</v>
      </c>
      <c r="O6" t="s">
        <v>26</v>
      </c>
      <c r="P6" t="s">
        <v>165</v>
      </c>
      <c r="Q6" t="s">
        <v>13</v>
      </c>
      <c r="R6" t="s">
        <v>12</v>
      </c>
      <c r="S6" t="s">
        <v>159</v>
      </c>
      <c r="T6" t="s">
        <v>144</v>
      </c>
      <c r="U6" t="s">
        <v>577</v>
      </c>
    </row>
    <row r="7" spans="1:21" x14ac:dyDescent="0.25">
      <c r="A7">
        <v>51</v>
      </c>
      <c r="B7" t="s">
        <v>162</v>
      </c>
      <c r="C7" t="s">
        <v>164</v>
      </c>
      <c r="D7" t="s">
        <v>21</v>
      </c>
      <c r="E7" t="s">
        <v>142</v>
      </c>
      <c r="G7" t="s">
        <v>163</v>
      </c>
      <c r="H7" t="s">
        <v>9</v>
      </c>
      <c r="J7" s="1">
        <v>41730.679467592592</v>
      </c>
      <c r="K7" t="s">
        <v>162</v>
      </c>
      <c r="L7" t="s">
        <v>161</v>
      </c>
      <c r="N7" t="s">
        <v>27</v>
      </c>
      <c r="O7" t="s">
        <v>26</v>
      </c>
      <c r="P7" t="s">
        <v>160</v>
      </c>
      <c r="Q7" t="s">
        <v>13</v>
      </c>
      <c r="R7" t="s">
        <v>12</v>
      </c>
      <c r="S7" t="s">
        <v>159</v>
      </c>
      <c r="T7" t="s">
        <v>144</v>
      </c>
      <c r="U7" t="s">
        <v>577</v>
      </c>
    </row>
    <row r="8" spans="1:21" x14ac:dyDescent="0.25">
      <c r="A8">
        <v>82</v>
      </c>
      <c r="B8" t="s">
        <v>156</v>
      </c>
      <c r="C8" t="s">
        <v>158</v>
      </c>
      <c r="D8" t="s">
        <v>21</v>
      </c>
      <c r="E8" t="s">
        <v>142</v>
      </c>
      <c r="G8" t="s">
        <v>157</v>
      </c>
      <c r="H8" t="s">
        <v>9</v>
      </c>
      <c r="J8" s="1">
        <v>41732.896481481483</v>
      </c>
      <c r="K8" t="s">
        <v>156</v>
      </c>
      <c r="L8" t="s">
        <v>155</v>
      </c>
      <c r="N8" t="s">
        <v>154</v>
      </c>
      <c r="O8" t="s">
        <v>26</v>
      </c>
      <c r="P8" t="s">
        <v>153</v>
      </c>
      <c r="Q8" t="s">
        <v>13</v>
      </c>
      <c r="R8" t="s">
        <v>12</v>
      </c>
      <c r="S8" t="s">
        <v>145</v>
      </c>
      <c r="T8" t="s">
        <v>152</v>
      </c>
      <c r="U8" t="s">
        <v>577</v>
      </c>
    </row>
    <row r="9" spans="1:21" x14ac:dyDescent="0.25">
      <c r="A9">
        <v>90</v>
      </c>
      <c r="B9" t="s">
        <v>149</v>
      </c>
      <c r="C9" t="s">
        <v>151</v>
      </c>
      <c r="D9" t="s">
        <v>21</v>
      </c>
      <c r="E9" t="s">
        <v>142</v>
      </c>
      <c r="G9" t="s">
        <v>150</v>
      </c>
      <c r="H9" t="s">
        <v>9</v>
      </c>
      <c r="J9" s="1">
        <v>41730.741481481484</v>
      </c>
      <c r="K9" t="s">
        <v>149</v>
      </c>
      <c r="L9" t="s">
        <v>148</v>
      </c>
      <c r="N9" t="s">
        <v>147</v>
      </c>
      <c r="O9" t="s">
        <v>26</v>
      </c>
      <c r="P9" t="s">
        <v>146</v>
      </c>
      <c r="Q9" t="s">
        <v>13</v>
      </c>
      <c r="R9" t="s">
        <v>12</v>
      </c>
      <c r="S9" t="s">
        <v>145</v>
      </c>
      <c r="T9" t="s">
        <v>144</v>
      </c>
      <c r="U9" t="s">
        <v>577</v>
      </c>
    </row>
    <row r="10" spans="1:21" x14ac:dyDescent="0.25">
      <c r="A10">
        <v>91</v>
      </c>
      <c r="B10" t="s">
        <v>140</v>
      </c>
      <c r="C10" t="s">
        <v>143</v>
      </c>
      <c r="D10" t="s">
        <v>21</v>
      </c>
      <c r="E10" t="s">
        <v>142</v>
      </c>
      <c r="G10" t="s">
        <v>141</v>
      </c>
      <c r="H10" t="s">
        <v>9</v>
      </c>
      <c r="J10" s="1">
        <v>41732.469930555555</v>
      </c>
      <c r="K10" t="s">
        <v>140</v>
      </c>
      <c r="L10" t="s">
        <v>139</v>
      </c>
      <c r="N10" t="s">
        <v>27</v>
      </c>
      <c r="O10" t="s">
        <v>26</v>
      </c>
      <c r="P10" t="s">
        <v>138</v>
      </c>
      <c r="Q10" t="s">
        <v>13</v>
      </c>
      <c r="R10" t="s">
        <v>12</v>
      </c>
      <c r="S10" t="s">
        <v>137</v>
      </c>
      <c r="T10" t="s">
        <v>136</v>
      </c>
      <c r="U10" t="s">
        <v>577</v>
      </c>
    </row>
    <row r="11" spans="1:21" x14ac:dyDescent="0.25">
      <c r="A11" t="s">
        <v>572</v>
      </c>
      <c r="K11" t="s">
        <v>573</v>
      </c>
      <c r="S11" t="s">
        <v>159</v>
      </c>
      <c r="T11" t="s">
        <v>171</v>
      </c>
      <c r="U11" t="s">
        <v>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pane ySplit="1" topLeftCell="A2" activePane="bottomLeft" state="frozen"/>
      <selection pane="bottomLeft" activeCell="N6" sqref="N6"/>
    </sheetView>
  </sheetViews>
  <sheetFormatPr defaultRowHeight="15" x14ac:dyDescent="0.25"/>
  <cols>
    <col min="11" max="11" width="15.42578125" bestFit="1" customWidth="1"/>
    <col min="20" max="20" width="47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135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134</v>
      </c>
      <c r="L1" t="s">
        <v>133</v>
      </c>
      <c r="M1" t="s">
        <v>132</v>
      </c>
      <c r="N1" t="s">
        <v>131</v>
      </c>
      <c r="O1" t="s">
        <v>130</v>
      </c>
      <c r="P1" t="s">
        <v>129</v>
      </c>
      <c r="Q1" t="s">
        <v>128</v>
      </c>
      <c r="R1" t="s">
        <v>127</v>
      </c>
      <c r="S1" t="s">
        <v>257</v>
      </c>
      <c r="T1" t="s">
        <v>126</v>
      </c>
    </row>
    <row r="2" spans="1:21" x14ac:dyDescent="0.25">
      <c r="A2">
        <v>7</v>
      </c>
      <c r="B2" t="s">
        <v>256</v>
      </c>
      <c r="C2" t="s">
        <v>255</v>
      </c>
      <c r="D2" t="s">
        <v>21</v>
      </c>
      <c r="E2" t="s">
        <v>190</v>
      </c>
      <c r="G2" t="s">
        <v>254</v>
      </c>
      <c r="H2" t="s">
        <v>9</v>
      </c>
      <c r="J2" s="1">
        <v>41735.675335648149</v>
      </c>
      <c r="K2" t="s">
        <v>253</v>
      </c>
      <c r="L2" t="s">
        <v>252</v>
      </c>
      <c r="M2" t="s">
        <v>251</v>
      </c>
      <c r="N2" t="s">
        <v>250</v>
      </c>
      <c r="O2" t="s">
        <v>15</v>
      </c>
      <c r="P2" t="s">
        <v>249</v>
      </c>
      <c r="Q2" t="s">
        <v>13</v>
      </c>
      <c r="R2" t="s">
        <v>12</v>
      </c>
      <c r="S2" t="s">
        <v>248</v>
      </c>
      <c r="T2" t="s">
        <v>220</v>
      </c>
      <c r="U2" t="s">
        <v>577</v>
      </c>
    </row>
    <row r="3" spans="1:21" x14ac:dyDescent="0.25">
      <c r="A3">
        <v>58</v>
      </c>
      <c r="B3" t="s">
        <v>246</v>
      </c>
      <c r="C3" t="s">
        <v>241</v>
      </c>
      <c r="D3" t="s">
        <v>21</v>
      </c>
      <c r="E3" t="s">
        <v>190</v>
      </c>
      <c r="G3" t="s">
        <v>247</v>
      </c>
      <c r="H3" t="s">
        <v>9</v>
      </c>
      <c r="J3" s="1">
        <v>41733.735393518517</v>
      </c>
      <c r="K3" t="s">
        <v>246</v>
      </c>
      <c r="L3" t="s">
        <v>245</v>
      </c>
      <c r="N3" t="s">
        <v>244</v>
      </c>
      <c r="O3" t="s">
        <v>243</v>
      </c>
      <c r="P3" t="s">
        <v>242</v>
      </c>
      <c r="Q3" t="s">
        <v>13</v>
      </c>
      <c r="R3" t="s">
        <v>12</v>
      </c>
      <c r="S3" t="s">
        <v>241</v>
      </c>
      <c r="T3" t="s">
        <v>220</v>
      </c>
      <c r="U3" t="s">
        <v>577</v>
      </c>
    </row>
    <row r="4" spans="1:21" x14ac:dyDescent="0.25">
      <c r="A4">
        <v>60</v>
      </c>
      <c r="B4" t="s">
        <v>239</v>
      </c>
      <c r="C4" t="s">
        <v>235</v>
      </c>
      <c r="D4" t="s">
        <v>21</v>
      </c>
      <c r="E4" t="s">
        <v>190</v>
      </c>
      <c r="G4" t="s">
        <v>240</v>
      </c>
      <c r="H4" t="s">
        <v>9</v>
      </c>
      <c r="J4" s="1">
        <v>41731.502627314818</v>
      </c>
      <c r="K4" t="s">
        <v>239</v>
      </c>
      <c r="L4" t="s">
        <v>238</v>
      </c>
      <c r="N4" t="s">
        <v>237</v>
      </c>
      <c r="O4" t="s">
        <v>26</v>
      </c>
      <c r="P4" t="s">
        <v>236</v>
      </c>
      <c r="Q4" t="s">
        <v>13</v>
      </c>
      <c r="R4" t="s">
        <v>12</v>
      </c>
      <c r="S4" t="s">
        <v>235</v>
      </c>
      <c r="T4" t="s">
        <v>179</v>
      </c>
      <c r="U4" t="s">
        <v>577</v>
      </c>
    </row>
    <row r="5" spans="1:21" x14ac:dyDescent="0.25">
      <c r="A5">
        <v>62</v>
      </c>
      <c r="B5" t="s">
        <v>233</v>
      </c>
      <c r="C5" t="s">
        <v>229</v>
      </c>
      <c r="D5" t="s">
        <v>21</v>
      </c>
      <c r="E5" t="s">
        <v>190</v>
      </c>
      <c r="G5" t="s">
        <v>234</v>
      </c>
      <c r="H5" t="s">
        <v>9</v>
      </c>
      <c r="J5" s="1">
        <v>41731.478900462964</v>
      </c>
      <c r="K5" t="s">
        <v>233</v>
      </c>
      <c r="L5" t="s">
        <v>232</v>
      </c>
      <c r="N5" t="s">
        <v>231</v>
      </c>
      <c r="O5" t="s">
        <v>208</v>
      </c>
      <c r="P5" t="s">
        <v>230</v>
      </c>
      <c r="Q5" t="s">
        <v>13</v>
      </c>
      <c r="R5" t="s">
        <v>12</v>
      </c>
      <c r="S5" t="s">
        <v>229</v>
      </c>
      <c r="T5" t="s">
        <v>220</v>
      </c>
      <c r="U5" t="s">
        <v>577</v>
      </c>
    </row>
    <row r="6" spans="1:21" x14ac:dyDescent="0.25">
      <c r="A6">
        <v>66</v>
      </c>
      <c r="B6" t="s">
        <v>227</v>
      </c>
      <c r="C6" t="s">
        <v>221</v>
      </c>
      <c r="D6" t="s">
        <v>21</v>
      </c>
      <c r="E6" t="s">
        <v>190</v>
      </c>
      <c r="G6" t="s">
        <v>228</v>
      </c>
      <c r="H6" t="s">
        <v>9</v>
      </c>
      <c r="J6" s="1">
        <v>41731.142118055555</v>
      </c>
      <c r="K6" t="s">
        <v>227</v>
      </c>
      <c r="L6" t="s">
        <v>226</v>
      </c>
      <c r="M6" t="s">
        <v>225</v>
      </c>
      <c r="N6" t="s">
        <v>224</v>
      </c>
      <c r="O6" t="s">
        <v>223</v>
      </c>
      <c r="P6" t="s">
        <v>222</v>
      </c>
      <c r="Q6" t="s">
        <v>13</v>
      </c>
      <c r="R6" t="s">
        <v>12</v>
      </c>
      <c r="S6" t="s">
        <v>221</v>
      </c>
      <c r="T6" t="s">
        <v>220</v>
      </c>
      <c r="U6" t="s">
        <v>577</v>
      </c>
    </row>
    <row r="7" spans="1:21" x14ac:dyDescent="0.25">
      <c r="A7">
        <v>69</v>
      </c>
      <c r="B7" t="s">
        <v>218</v>
      </c>
      <c r="C7" t="s">
        <v>213</v>
      </c>
      <c r="D7" t="s">
        <v>21</v>
      </c>
      <c r="E7" t="s">
        <v>190</v>
      </c>
      <c r="G7" t="s">
        <v>219</v>
      </c>
      <c r="H7" t="s">
        <v>9</v>
      </c>
      <c r="J7" s="1">
        <v>41731.452615740738</v>
      </c>
      <c r="K7" t="s">
        <v>218</v>
      </c>
      <c r="L7" t="s">
        <v>217</v>
      </c>
      <c r="N7" t="s">
        <v>216</v>
      </c>
      <c r="O7" t="s">
        <v>215</v>
      </c>
      <c r="P7" t="s">
        <v>214</v>
      </c>
      <c r="Q7" t="s">
        <v>13</v>
      </c>
      <c r="R7" t="s">
        <v>12</v>
      </c>
      <c r="S7" t="s">
        <v>213</v>
      </c>
      <c r="T7" t="s">
        <v>144</v>
      </c>
      <c r="U7" t="s">
        <v>577</v>
      </c>
    </row>
    <row r="8" spans="1:21" x14ac:dyDescent="0.25">
      <c r="A8">
        <v>76</v>
      </c>
      <c r="B8" t="s">
        <v>211</v>
      </c>
      <c r="C8" t="s">
        <v>206</v>
      </c>
      <c r="D8" t="s">
        <v>21</v>
      </c>
      <c r="E8" t="s">
        <v>190</v>
      </c>
      <c r="G8" t="s">
        <v>212</v>
      </c>
      <c r="H8" t="s">
        <v>9</v>
      </c>
      <c r="J8" s="1">
        <v>41731.046435185184</v>
      </c>
      <c r="K8" t="s">
        <v>211</v>
      </c>
      <c r="L8" t="s">
        <v>210</v>
      </c>
      <c r="N8" t="s">
        <v>209</v>
      </c>
      <c r="O8" t="s">
        <v>208</v>
      </c>
      <c r="P8" t="s">
        <v>207</v>
      </c>
      <c r="Q8" t="s">
        <v>13</v>
      </c>
      <c r="R8" t="s">
        <v>12</v>
      </c>
      <c r="S8" t="s">
        <v>206</v>
      </c>
      <c r="T8" t="s">
        <v>179</v>
      </c>
      <c r="U8" t="s">
        <v>577</v>
      </c>
    </row>
    <row r="9" spans="1:21" x14ac:dyDescent="0.25">
      <c r="A9">
        <v>93</v>
      </c>
      <c r="B9" t="s">
        <v>205</v>
      </c>
      <c r="C9" t="s">
        <v>197</v>
      </c>
      <c r="D9" t="s">
        <v>21</v>
      </c>
      <c r="E9" t="s">
        <v>204</v>
      </c>
      <c r="G9" t="s">
        <v>203</v>
      </c>
      <c r="H9" t="s">
        <v>9</v>
      </c>
      <c r="J9" s="1">
        <v>41735.511145833334</v>
      </c>
      <c r="K9" t="s">
        <v>202</v>
      </c>
      <c r="L9" t="s">
        <v>201</v>
      </c>
      <c r="N9" t="s">
        <v>200</v>
      </c>
      <c r="O9" t="s">
        <v>199</v>
      </c>
      <c r="P9" t="s">
        <v>198</v>
      </c>
      <c r="Q9" t="s">
        <v>13</v>
      </c>
      <c r="R9" t="s">
        <v>12</v>
      </c>
      <c r="S9" t="s">
        <v>197</v>
      </c>
      <c r="T9" t="s">
        <v>136</v>
      </c>
      <c r="U9" t="s">
        <v>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T17" sqref="T17"/>
    </sheetView>
  </sheetViews>
  <sheetFormatPr defaultRowHeight="15" x14ac:dyDescent="0.25"/>
  <cols>
    <col min="2" max="2" width="21.28515625" customWidth="1"/>
    <col min="11" max="11" width="18.85546875" bestFit="1" customWidth="1"/>
    <col min="18" max="18" width="10.140625" customWidth="1"/>
    <col min="19" max="19" width="41.85546875" bestFit="1" customWidth="1"/>
    <col min="20" max="20" width="47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135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134</v>
      </c>
      <c r="L1" t="s">
        <v>133</v>
      </c>
      <c r="M1" t="s">
        <v>132</v>
      </c>
      <c r="N1" t="s">
        <v>131</v>
      </c>
      <c r="O1" t="s">
        <v>130</v>
      </c>
      <c r="P1" t="s">
        <v>129</v>
      </c>
      <c r="Q1" t="s">
        <v>128</v>
      </c>
      <c r="R1" t="s">
        <v>127</v>
      </c>
      <c r="S1" t="s">
        <v>126</v>
      </c>
      <c r="T1" t="s">
        <v>126</v>
      </c>
    </row>
    <row r="2" spans="1:21" x14ac:dyDescent="0.25">
      <c r="A2">
        <v>4</v>
      </c>
      <c r="B2" t="s">
        <v>337</v>
      </c>
      <c r="C2" t="s">
        <v>339</v>
      </c>
      <c r="D2" t="s">
        <v>21</v>
      </c>
      <c r="E2" t="s">
        <v>263</v>
      </c>
      <c r="G2" t="s">
        <v>338</v>
      </c>
      <c r="H2" t="s">
        <v>9</v>
      </c>
      <c r="J2" s="1">
        <v>41734.707511574074</v>
      </c>
      <c r="K2" t="s">
        <v>337</v>
      </c>
      <c r="L2" t="s">
        <v>336</v>
      </c>
      <c r="N2" t="s">
        <v>335</v>
      </c>
      <c r="O2" t="s">
        <v>26</v>
      </c>
      <c r="P2" t="s">
        <v>334</v>
      </c>
      <c r="Q2" t="s">
        <v>13</v>
      </c>
      <c r="R2" t="s">
        <v>12</v>
      </c>
      <c r="S2" t="s">
        <v>258</v>
      </c>
      <c r="T2" t="s">
        <v>289</v>
      </c>
      <c r="U2" t="s">
        <v>577</v>
      </c>
    </row>
    <row r="3" spans="1:21" x14ac:dyDescent="0.25">
      <c r="A3">
        <v>17</v>
      </c>
      <c r="B3" t="s">
        <v>333</v>
      </c>
      <c r="C3" t="s">
        <v>332</v>
      </c>
      <c r="D3" t="s">
        <v>21</v>
      </c>
      <c r="E3" t="s">
        <v>263</v>
      </c>
      <c r="G3" t="s">
        <v>331</v>
      </c>
      <c r="H3" t="s">
        <v>9</v>
      </c>
      <c r="J3" s="1">
        <v>41730.642523148148</v>
      </c>
      <c r="K3" t="s">
        <v>330</v>
      </c>
      <c r="L3" t="s">
        <v>108</v>
      </c>
      <c r="N3" t="s">
        <v>87</v>
      </c>
      <c r="O3" t="s">
        <v>26</v>
      </c>
      <c r="P3" t="s">
        <v>107</v>
      </c>
      <c r="Q3" t="s">
        <v>13</v>
      </c>
      <c r="R3" t="s">
        <v>12</v>
      </c>
      <c r="S3" t="s">
        <v>329</v>
      </c>
      <c r="T3" t="s">
        <v>144</v>
      </c>
      <c r="U3" t="s">
        <v>577</v>
      </c>
    </row>
    <row r="4" spans="1:21" x14ac:dyDescent="0.25">
      <c r="A4">
        <v>23</v>
      </c>
      <c r="B4" t="s">
        <v>328</v>
      </c>
      <c r="C4" t="s">
        <v>327</v>
      </c>
      <c r="D4" t="s">
        <v>21</v>
      </c>
      <c r="E4" t="s">
        <v>263</v>
      </c>
      <c r="G4" t="s">
        <v>326</v>
      </c>
      <c r="H4" t="s">
        <v>9</v>
      </c>
      <c r="J4" s="1">
        <v>41732.661481481482</v>
      </c>
      <c r="K4" t="s">
        <v>325</v>
      </c>
      <c r="L4" t="s">
        <v>324</v>
      </c>
      <c r="M4" t="s">
        <v>323</v>
      </c>
      <c r="N4" t="s">
        <v>322</v>
      </c>
      <c r="O4" t="s">
        <v>26</v>
      </c>
      <c r="P4" t="s">
        <v>321</v>
      </c>
      <c r="Q4" t="s">
        <v>13</v>
      </c>
      <c r="R4" t="s">
        <v>12</v>
      </c>
      <c r="S4" t="s">
        <v>272</v>
      </c>
      <c r="T4" t="s">
        <v>144</v>
      </c>
      <c r="U4" t="s">
        <v>577</v>
      </c>
    </row>
    <row r="5" spans="1:21" x14ac:dyDescent="0.25">
      <c r="A5">
        <v>25</v>
      </c>
      <c r="B5" t="s">
        <v>320</v>
      </c>
      <c r="C5" t="s">
        <v>319</v>
      </c>
      <c r="D5" t="s">
        <v>21</v>
      </c>
      <c r="E5" t="s">
        <v>263</v>
      </c>
      <c r="G5" t="s">
        <v>318</v>
      </c>
      <c r="H5" t="s">
        <v>9</v>
      </c>
      <c r="J5" s="1">
        <v>41730.758460648147</v>
      </c>
      <c r="K5" t="s">
        <v>317</v>
      </c>
      <c r="L5" t="s">
        <v>316</v>
      </c>
      <c r="N5" t="s">
        <v>315</v>
      </c>
      <c r="O5" t="s">
        <v>26</v>
      </c>
      <c r="P5" t="s">
        <v>314</v>
      </c>
      <c r="Q5" t="s">
        <v>13</v>
      </c>
      <c r="R5" t="s">
        <v>12</v>
      </c>
      <c r="S5" t="s">
        <v>272</v>
      </c>
      <c r="T5" t="s">
        <v>144</v>
      </c>
      <c r="U5" t="s">
        <v>577</v>
      </c>
    </row>
    <row r="6" spans="1:21" x14ac:dyDescent="0.25">
      <c r="A6">
        <v>30</v>
      </c>
      <c r="B6" t="s">
        <v>311</v>
      </c>
      <c r="C6" t="s">
        <v>313</v>
      </c>
      <c r="D6" t="s">
        <v>21</v>
      </c>
      <c r="E6" t="s">
        <v>263</v>
      </c>
      <c r="G6" t="s">
        <v>312</v>
      </c>
      <c r="H6" t="s">
        <v>9</v>
      </c>
      <c r="J6" s="1">
        <v>41730.640659722223</v>
      </c>
      <c r="K6" t="s">
        <v>311</v>
      </c>
      <c r="L6" t="s">
        <v>310</v>
      </c>
      <c r="N6" t="s">
        <v>121</v>
      </c>
      <c r="O6" t="s">
        <v>26</v>
      </c>
      <c r="P6" t="s">
        <v>120</v>
      </c>
      <c r="Q6" t="s">
        <v>13</v>
      </c>
      <c r="R6" t="s">
        <v>12</v>
      </c>
      <c r="S6" t="s">
        <v>266</v>
      </c>
      <c r="T6" t="s">
        <v>220</v>
      </c>
      <c r="U6" t="s">
        <v>577</v>
      </c>
    </row>
    <row r="7" spans="1:21" x14ac:dyDescent="0.25">
      <c r="A7">
        <v>32</v>
      </c>
      <c r="B7" t="s">
        <v>309</v>
      </c>
      <c r="C7" t="s">
        <v>308</v>
      </c>
      <c r="D7" t="s">
        <v>21</v>
      </c>
      <c r="E7" t="s">
        <v>263</v>
      </c>
      <c r="G7" t="s">
        <v>307</v>
      </c>
      <c r="H7" t="s">
        <v>9</v>
      </c>
      <c r="J7" s="1">
        <v>41730.703506944446</v>
      </c>
      <c r="K7" t="s">
        <v>269</v>
      </c>
      <c r="L7" t="s">
        <v>268</v>
      </c>
      <c r="N7" t="s">
        <v>27</v>
      </c>
      <c r="O7" t="s">
        <v>26</v>
      </c>
      <c r="P7" t="s">
        <v>267</v>
      </c>
      <c r="Q7" t="s">
        <v>13</v>
      </c>
      <c r="R7" t="s">
        <v>12</v>
      </c>
      <c r="S7" t="s">
        <v>258</v>
      </c>
      <c r="T7" t="s">
        <v>220</v>
      </c>
      <c r="U7" t="s">
        <v>577</v>
      </c>
    </row>
    <row r="8" spans="1:21" x14ac:dyDescent="0.25">
      <c r="A8">
        <v>44</v>
      </c>
      <c r="B8" t="s">
        <v>306</v>
      </c>
      <c r="C8" t="s">
        <v>305</v>
      </c>
      <c r="D8" t="s">
        <v>21</v>
      </c>
      <c r="E8" t="s">
        <v>263</v>
      </c>
      <c r="G8" t="s">
        <v>304</v>
      </c>
      <c r="H8" t="s">
        <v>9</v>
      </c>
      <c r="J8" s="1">
        <v>41730.741388888891</v>
      </c>
      <c r="K8" t="s">
        <v>303</v>
      </c>
      <c r="L8" t="s">
        <v>302</v>
      </c>
      <c r="N8" t="s">
        <v>301</v>
      </c>
      <c r="O8" t="s">
        <v>300</v>
      </c>
      <c r="P8">
        <v>6279</v>
      </c>
      <c r="Q8" t="s">
        <v>13</v>
      </c>
      <c r="R8" t="s">
        <v>12</v>
      </c>
      <c r="S8" t="s">
        <v>272</v>
      </c>
      <c r="T8" t="s">
        <v>574</v>
      </c>
      <c r="U8" t="s">
        <v>577</v>
      </c>
    </row>
    <row r="9" spans="1:21" x14ac:dyDescent="0.25">
      <c r="A9">
        <v>47</v>
      </c>
      <c r="B9" t="s">
        <v>297</v>
      </c>
      <c r="C9" t="s">
        <v>299</v>
      </c>
      <c r="D9" t="s">
        <v>21</v>
      </c>
      <c r="E9" t="s">
        <v>263</v>
      </c>
      <c r="G9" t="s">
        <v>298</v>
      </c>
      <c r="H9" t="s">
        <v>9</v>
      </c>
      <c r="J9" s="1">
        <v>41730.641504629632</v>
      </c>
      <c r="K9" t="s">
        <v>297</v>
      </c>
      <c r="L9" t="s">
        <v>296</v>
      </c>
      <c r="N9" t="s">
        <v>295</v>
      </c>
      <c r="O9" t="s">
        <v>294</v>
      </c>
      <c r="P9" t="s">
        <v>293</v>
      </c>
      <c r="Q9" t="s">
        <v>13</v>
      </c>
      <c r="R9" t="s">
        <v>12</v>
      </c>
      <c r="S9" t="s">
        <v>258</v>
      </c>
      <c r="T9" t="s">
        <v>136</v>
      </c>
      <c r="U9" t="s">
        <v>577</v>
      </c>
    </row>
    <row r="10" spans="1:21" x14ac:dyDescent="0.25">
      <c r="A10">
        <v>53</v>
      </c>
      <c r="B10" t="s">
        <v>290</v>
      </c>
      <c r="C10" t="s">
        <v>292</v>
      </c>
      <c r="D10" t="s">
        <v>21</v>
      </c>
      <c r="E10" t="s">
        <v>263</v>
      </c>
      <c r="G10" t="s">
        <v>291</v>
      </c>
      <c r="H10" t="s">
        <v>9</v>
      </c>
      <c r="J10" s="1">
        <v>41730.676307870373</v>
      </c>
      <c r="K10" t="s">
        <v>290</v>
      </c>
      <c r="L10" t="s">
        <v>122</v>
      </c>
      <c r="N10" t="s">
        <v>121</v>
      </c>
      <c r="O10" t="s">
        <v>26</v>
      </c>
      <c r="P10" t="s">
        <v>120</v>
      </c>
      <c r="Q10" t="s">
        <v>13</v>
      </c>
      <c r="R10" t="s">
        <v>12</v>
      </c>
      <c r="S10" t="s">
        <v>272</v>
      </c>
      <c r="T10" t="s">
        <v>289</v>
      </c>
      <c r="U10" t="s">
        <v>577</v>
      </c>
    </row>
    <row r="11" spans="1:21" x14ac:dyDescent="0.25">
      <c r="A11">
        <v>63</v>
      </c>
      <c r="B11" t="s">
        <v>286</v>
      </c>
      <c r="C11" t="s">
        <v>288</v>
      </c>
      <c r="D11" t="s">
        <v>21</v>
      </c>
      <c r="E11" t="s">
        <v>263</v>
      </c>
      <c r="G11" t="s">
        <v>287</v>
      </c>
      <c r="H11" t="s">
        <v>9</v>
      </c>
      <c r="J11" s="1">
        <v>41732.086875000001</v>
      </c>
      <c r="K11" t="s">
        <v>286</v>
      </c>
      <c r="L11" t="s">
        <v>285</v>
      </c>
      <c r="N11" t="s">
        <v>114</v>
      </c>
      <c r="O11" t="s">
        <v>26</v>
      </c>
      <c r="P11" t="s">
        <v>284</v>
      </c>
      <c r="Q11" t="s">
        <v>13</v>
      </c>
      <c r="R11" t="s">
        <v>12</v>
      </c>
      <c r="S11" t="s">
        <v>258</v>
      </c>
      <c r="T11" t="s">
        <v>136</v>
      </c>
      <c r="U11" t="s">
        <v>577</v>
      </c>
    </row>
    <row r="12" spans="1:21" x14ac:dyDescent="0.25">
      <c r="A12">
        <v>72</v>
      </c>
      <c r="B12" t="s">
        <v>281</v>
      </c>
      <c r="C12" t="s">
        <v>283</v>
      </c>
      <c r="D12" t="s">
        <v>21</v>
      </c>
      <c r="E12" t="s">
        <v>263</v>
      </c>
      <c r="G12" t="s">
        <v>282</v>
      </c>
      <c r="H12" t="s">
        <v>9</v>
      </c>
      <c r="J12" s="1">
        <v>41731.565000000002</v>
      </c>
      <c r="K12" t="s">
        <v>281</v>
      </c>
      <c r="L12" t="s">
        <v>280</v>
      </c>
      <c r="N12" t="s">
        <v>279</v>
      </c>
      <c r="O12" t="s">
        <v>26</v>
      </c>
      <c r="P12" t="s">
        <v>278</v>
      </c>
      <c r="Q12" t="s">
        <v>13</v>
      </c>
      <c r="R12" t="s">
        <v>12</v>
      </c>
      <c r="S12" t="s">
        <v>258</v>
      </c>
      <c r="T12" t="s">
        <v>136</v>
      </c>
      <c r="U12" t="s">
        <v>577</v>
      </c>
    </row>
    <row r="13" spans="1:21" x14ac:dyDescent="0.25">
      <c r="A13">
        <v>75</v>
      </c>
      <c r="B13" t="s">
        <v>275</v>
      </c>
      <c r="C13" t="s">
        <v>277</v>
      </c>
      <c r="D13" t="s">
        <v>21</v>
      </c>
      <c r="E13" t="s">
        <v>263</v>
      </c>
      <c r="G13" t="s">
        <v>276</v>
      </c>
      <c r="H13" t="s">
        <v>9</v>
      </c>
      <c r="J13" s="1">
        <v>41730.66070601852</v>
      </c>
      <c r="K13" t="s">
        <v>275</v>
      </c>
      <c r="L13" t="s">
        <v>274</v>
      </c>
      <c r="N13" t="s">
        <v>27</v>
      </c>
      <c r="O13" t="s">
        <v>26</v>
      </c>
      <c r="P13" t="s">
        <v>273</v>
      </c>
      <c r="Q13" t="s">
        <v>13</v>
      </c>
      <c r="R13" t="s">
        <v>12</v>
      </c>
      <c r="S13" t="s">
        <v>272</v>
      </c>
      <c r="T13" t="s">
        <v>152</v>
      </c>
      <c r="U13" t="s">
        <v>577</v>
      </c>
    </row>
    <row r="14" spans="1:21" x14ac:dyDescent="0.25">
      <c r="A14">
        <v>81</v>
      </c>
      <c r="B14" t="s">
        <v>269</v>
      </c>
      <c r="C14" t="s">
        <v>271</v>
      </c>
      <c r="D14" t="s">
        <v>21</v>
      </c>
      <c r="E14" t="s">
        <v>263</v>
      </c>
      <c r="G14" t="s">
        <v>270</v>
      </c>
      <c r="H14" t="s">
        <v>9</v>
      </c>
      <c r="J14" s="1">
        <v>41730.707928240743</v>
      </c>
      <c r="K14" t="s">
        <v>269</v>
      </c>
      <c r="L14" t="s">
        <v>268</v>
      </c>
      <c r="N14" t="s">
        <v>27</v>
      </c>
      <c r="O14" t="s">
        <v>26</v>
      </c>
      <c r="P14" t="s">
        <v>267</v>
      </c>
      <c r="Q14" t="s">
        <v>13</v>
      </c>
      <c r="R14" t="s">
        <v>12</v>
      </c>
      <c r="S14" t="s">
        <v>266</v>
      </c>
      <c r="T14" t="s">
        <v>171</v>
      </c>
      <c r="U14" t="s">
        <v>577</v>
      </c>
    </row>
    <row r="15" spans="1:21" x14ac:dyDescent="0.25">
      <c r="A15">
        <v>83</v>
      </c>
      <c r="B15" t="s">
        <v>265</v>
      </c>
      <c r="C15" t="s">
        <v>264</v>
      </c>
      <c r="D15" t="s">
        <v>21</v>
      </c>
      <c r="E15" t="s">
        <v>263</v>
      </c>
      <c r="G15" t="s">
        <v>262</v>
      </c>
      <c r="H15" t="s">
        <v>9</v>
      </c>
      <c r="J15" s="1">
        <v>41731.002800925926</v>
      </c>
      <c r="K15" t="s">
        <v>261</v>
      </c>
      <c r="L15" t="s">
        <v>260</v>
      </c>
      <c r="N15" t="s">
        <v>56</v>
      </c>
      <c r="O15" t="s">
        <v>26</v>
      </c>
      <c r="P15" t="s">
        <v>259</v>
      </c>
      <c r="Q15" t="s">
        <v>13</v>
      </c>
      <c r="R15" t="s">
        <v>12</v>
      </c>
      <c r="S15" t="s">
        <v>258</v>
      </c>
      <c r="T15" t="s">
        <v>179</v>
      </c>
      <c r="U15" t="s">
        <v>577</v>
      </c>
    </row>
    <row r="16" spans="1:21" x14ac:dyDescent="0.25">
      <c r="A16">
        <v>14</v>
      </c>
      <c r="B16" t="s">
        <v>565</v>
      </c>
      <c r="C16" t="s">
        <v>564</v>
      </c>
      <c r="D16" t="s">
        <v>377</v>
      </c>
      <c r="E16" t="s">
        <v>563</v>
      </c>
      <c r="F16" t="s">
        <v>9</v>
      </c>
      <c r="S16" t="s">
        <v>258</v>
      </c>
      <c r="T16" t="s">
        <v>152</v>
      </c>
      <c r="U16" t="s">
        <v>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Views>
    <sheetView topLeftCell="J1" workbookViewId="0">
      <pane ySplit="1" topLeftCell="A2" activePane="bottomLeft" state="frozen"/>
      <selection activeCell="I1" sqref="I1"/>
      <selection pane="bottomLeft" activeCell="S6" sqref="S6"/>
    </sheetView>
  </sheetViews>
  <sheetFormatPr defaultRowHeight="15" x14ac:dyDescent="0.25"/>
  <cols>
    <col min="11" max="11" width="16.28515625" bestFit="1" customWidth="1"/>
    <col min="19" max="20" width="43.7109375" bestFit="1" customWidth="1"/>
    <col min="21" max="21" width="41.28515625" bestFit="1" customWidth="1"/>
    <col min="22" max="22" width="47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135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134</v>
      </c>
      <c r="L1" t="s">
        <v>133</v>
      </c>
      <c r="M1" t="s">
        <v>132</v>
      </c>
      <c r="N1" t="s">
        <v>131</v>
      </c>
      <c r="O1" t="s">
        <v>130</v>
      </c>
      <c r="P1" t="s">
        <v>129</v>
      </c>
      <c r="Q1" t="s">
        <v>128</v>
      </c>
      <c r="R1" t="s">
        <v>127</v>
      </c>
      <c r="S1" t="s">
        <v>126</v>
      </c>
      <c r="T1" t="s">
        <v>126</v>
      </c>
      <c r="U1" t="s">
        <v>126</v>
      </c>
      <c r="V1" t="s">
        <v>126</v>
      </c>
    </row>
    <row r="2" spans="1:23" x14ac:dyDescent="0.25">
      <c r="A2">
        <v>5</v>
      </c>
      <c r="B2" t="s">
        <v>396</v>
      </c>
      <c r="C2" t="s">
        <v>398</v>
      </c>
      <c r="D2" t="s">
        <v>21</v>
      </c>
      <c r="E2" t="s">
        <v>347</v>
      </c>
      <c r="G2" t="s">
        <v>397</v>
      </c>
      <c r="H2" t="s">
        <v>9</v>
      </c>
      <c r="J2" s="1">
        <v>41731.439791666664</v>
      </c>
      <c r="K2" t="s">
        <v>396</v>
      </c>
      <c r="L2" t="s">
        <v>122</v>
      </c>
      <c r="N2" t="s">
        <v>121</v>
      </c>
      <c r="O2" t="s">
        <v>26</v>
      </c>
      <c r="P2" t="s">
        <v>120</v>
      </c>
      <c r="Q2" t="s">
        <v>13</v>
      </c>
      <c r="R2" t="s">
        <v>12</v>
      </c>
      <c r="S2" t="s">
        <v>342</v>
      </c>
      <c r="T2" t="s">
        <v>395</v>
      </c>
      <c r="U2" t="s">
        <v>340</v>
      </c>
      <c r="V2" t="s">
        <v>144</v>
      </c>
      <c r="W2" t="s">
        <v>577</v>
      </c>
    </row>
    <row r="3" spans="1:23" x14ac:dyDescent="0.25">
      <c r="A3">
        <v>12</v>
      </c>
      <c r="B3" t="s">
        <v>392</v>
      </c>
      <c r="C3" t="s">
        <v>394</v>
      </c>
      <c r="D3" t="s">
        <v>21</v>
      </c>
      <c r="E3" t="s">
        <v>347</v>
      </c>
      <c r="G3" t="s">
        <v>393</v>
      </c>
      <c r="H3" t="s">
        <v>9</v>
      </c>
      <c r="J3" s="1">
        <v>41730.971238425926</v>
      </c>
      <c r="K3" t="s">
        <v>392</v>
      </c>
      <c r="L3" t="s">
        <v>391</v>
      </c>
      <c r="N3" t="s">
        <v>27</v>
      </c>
      <c r="O3" t="s">
        <v>26</v>
      </c>
      <c r="P3" t="s">
        <v>390</v>
      </c>
      <c r="Q3" t="s">
        <v>13</v>
      </c>
      <c r="R3" t="s">
        <v>12</v>
      </c>
      <c r="S3" t="s">
        <v>351</v>
      </c>
      <c r="T3" t="s">
        <v>341</v>
      </c>
      <c r="U3" t="s">
        <v>365</v>
      </c>
      <c r="V3" t="s">
        <v>136</v>
      </c>
      <c r="W3" t="s">
        <v>577</v>
      </c>
    </row>
    <row r="4" spans="1:23" x14ac:dyDescent="0.25">
      <c r="A4">
        <v>18</v>
      </c>
      <c r="B4" t="s">
        <v>387</v>
      </c>
      <c r="C4" t="s">
        <v>389</v>
      </c>
      <c r="D4" t="s">
        <v>21</v>
      </c>
      <c r="E4" t="s">
        <v>347</v>
      </c>
      <c r="G4" t="s">
        <v>388</v>
      </c>
      <c r="H4" t="s">
        <v>9</v>
      </c>
      <c r="J4" s="1">
        <v>41734.683807870373</v>
      </c>
      <c r="K4" t="s">
        <v>387</v>
      </c>
      <c r="L4" t="s">
        <v>386</v>
      </c>
      <c r="N4" t="s">
        <v>315</v>
      </c>
      <c r="O4" t="s">
        <v>26</v>
      </c>
      <c r="P4" t="s">
        <v>385</v>
      </c>
      <c r="Q4" t="s">
        <v>13</v>
      </c>
      <c r="R4" t="s">
        <v>12</v>
      </c>
      <c r="S4" t="s">
        <v>341</v>
      </c>
      <c r="T4" t="s">
        <v>351</v>
      </c>
      <c r="U4" t="s">
        <v>365</v>
      </c>
      <c r="V4" t="s">
        <v>171</v>
      </c>
      <c r="W4" t="s">
        <v>577</v>
      </c>
    </row>
    <row r="5" spans="1:23" x14ac:dyDescent="0.25">
      <c r="A5">
        <v>22</v>
      </c>
      <c r="B5" t="s">
        <v>382</v>
      </c>
      <c r="C5" t="s">
        <v>384</v>
      </c>
      <c r="D5" t="s">
        <v>21</v>
      </c>
      <c r="E5" t="s">
        <v>347</v>
      </c>
      <c r="G5" t="s">
        <v>383</v>
      </c>
      <c r="H5" t="s">
        <v>9</v>
      </c>
      <c r="J5" s="1">
        <v>41730.724930555552</v>
      </c>
      <c r="K5" t="s">
        <v>382</v>
      </c>
      <c r="L5" t="s">
        <v>381</v>
      </c>
      <c r="N5" t="s">
        <v>27</v>
      </c>
      <c r="O5" t="s">
        <v>26</v>
      </c>
      <c r="P5" t="s">
        <v>380</v>
      </c>
      <c r="Q5" t="s">
        <v>13</v>
      </c>
      <c r="R5" t="s">
        <v>12</v>
      </c>
      <c r="S5" t="s">
        <v>342</v>
      </c>
      <c r="T5" t="s">
        <v>365</v>
      </c>
      <c r="U5" t="s">
        <v>359</v>
      </c>
      <c r="V5" t="s">
        <v>152</v>
      </c>
      <c r="W5" t="s">
        <v>577</v>
      </c>
    </row>
    <row r="6" spans="1:23" x14ac:dyDescent="0.25">
      <c r="A6">
        <v>31</v>
      </c>
      <c r="B6" t="s">
        <v>379</v>
      </c>
      <c r="C6" t="s">
        <v>378</v>
      </c>
      <c r="D6" t="s">
        <v>21</v>
      </c>
      <c r="E6" t="s">
        <v>377</v>
      </c>
      <c r="G6" t="s">
        <v>376</v>
      </c>
      <c r="H6" t="s">
        <v>9</v>
      </c>
      <c r="J6" s="1">
        <v>41732.553981481484</v>
      </c>
      <c r="K6" t="s">
        <v>375</v>
      </c>
      <c r="L6" t="s">
        <v>374</v>
      </c>
      <c r="N6" t="s">
        <v>373</v>
      </c>
      <c r="O6" t="s">
        <v>26</v>
      </c>
      <c r="P6" t="s">
        <v>372</v>
      </c>
      <c r="Q6" t="s">
        <v>13</v>
      </c>
      <c r="R6" t="s">
        <v>12</v>
      </c>
      <c r="S6" t="s">
        <v>342</v>
      </c>
      <c r="T6" t="s">
        <v>365</v>
      </c>
      <c r="U6" t="s">
        <v>371</v>
      </c>
      <c r="V6" t="s">
        <v>179</v>
      </c>
      <c r="W6" t="s">
        <v>577</v>
      </c>
    </row>
    <row r="7" spans="1:23" x14ac:dyDescent="0.25">
      <c r="A7">
        <v>38</v>
      </c>
      <c r="B7" t="s">
        <v>368</v>
      </c>
      <c r="C7" t="s">
        <v>370</v>
      </c>
      <c r="D7" t="s">
        <v>21</v>
      </c>
      <c r="E7" t="s">
        <v>347</v>
      </c>
      <c r="G7" t="s">
        <v>369</v>
      </c>
      <c r="H7" t="s">
        <v>9</v>
      </c>
      <c r="J7" s="1">
        <v>41732.830439814818</v>
      </c>
      <c r="K7" t="s">
        <v>368</v>
      </c>
      <c r="L7" t="s">
        <v>367</v>
      </c>
      <c r="N7" t="s">
        <v>315</v>
      </c>
      <c r="O7" t="s">
        <v>26</v>
      </c>
      <c r="P7" t="s">
        <v>366</v>
      </c>
      <c r="Q7" t="s">
        <v>13</v>
      </c>
      <c r="R7" t="s">
        <v>12</v>
      </c>
      <c r="S7" t="s">
        <v>365</v>
      </c>
      <c r="T7" t="s">
        <v>351</v>
      </c>
      <c r="U7" t="s">
        <v>342</v>
      </c>
      <c r="V7" t="s">
        <v>179</v>
      </c>
      <c r="W7" t="s">
        <v>577</v>
      </c>
    </row>
    <row r="8" spans="1:23" x14ac:dyDescent="0.25">
      <c r="A8">
        <v>46</v>
      </c>
      <c r="B8" t="s">
        <v>362</v>
      </c>
      <c r="C8" t="s">
        <v>364</v>
      </c>
      <c r="D8" t="s">
        <v>21</v>
      </c>
      <c r="E8" t="s">
        <v>347</v>
      </c>
      <c r="G8" t="s">
        <v>363</v>
      </c>
      <c r="H8" t="s">
        <v>9</v>
      </c>
      <c r="J8" s="1">
        <v>41730.790462962963</v>
      </c>
      <c r="K8" t="s">
        <v>362</v>
      </c>
      <c r="L8" t="s">
        <v>361</v>
      </c>
      <c r="N8" t="s">
        <v>360</v>
      </c>
      <c r="O8" t="s">
        <v>26</v>
      </c>
      <c r="P8">
        <v>55426</v>
      </c>
      <c r="Q8" t="s">
        <v>13</v>
      </c>
      <c r="R8" t="s">
        <v>12</v>
      </c>
      <c r="S8" t="s">
        <v>340</v>
      </c>
      <c r="T8" t="s">
        <v>342</v>
      </c>
      <c r="U8" t="s">
        <v>359</v>
      </c>
      <c r="V8" t="s">
        <v>179</v>
      </c>
      <c r="W8" t="s">
        <v>577</v>
      </c>
    </row>
    <row r="9" spans="1:23" x14ac:dyDescent="0.25">
      <c r="A9">
        <v>55</v>
      </c>
      <c r="B9" t="s">
        <v>358</v>
      </c>
      <c r="C9" t="s">
        <v>357</v>
      </c>
      <c r="D9" t="s">
        <v>21</v>
      </c>
      <c r="E9" t="s">
        <v>347</v>
      </c>
      <c r="G9" t="s">
        <v>356</v>
      </c>
      <c r="H9" t="s">
        <v>9</v>
      </c>
      <c r="J9" s="1">
        <v>41730.988159722219</v>
      </c>
      <c r="K9" t="s">
        <v>355</v>
      </c>
      <c r="L9" t="s">
        <v>354</v>
      </c>
      <c r="N9" t="s">
        <v>353</v>
      </c>
      <c r="O9" t="s">
        <v>26</v>
      </c>
      <c r="P9" t="s">
        <v>352</v>
      </c>
      <c r="Q9" t="s">
        <v>13</v>
      </c>
      <c r="R9" t="s">
        <v>12</v>
      </c>
      <c r="S9" t="s">
        <v>342</v>
      </c>
      <c r="T9" t="s">
        <v>351</v>
      </c>
      <c r="U9" t="s">
        <v>365</v>
      </c>
      <c r="V9" t="s">
        <v>171</v>
      </c>
      <c r="W9" t="s">
        <v>577</v>
      </c>
    </row>
    <row r="10" spans="1:23" x14ac:dyDescent="0.25">
      <c r="A10">
        <v>94</v>
      </c>
      <c r="B10" t="s">
        <v>349</v>
      </c>
      <c r="C10" t="s">
        <v>348</v>
      </c>
      <c r="D10" t="s">
        <v>21</v>
      </c>
      <c r="E10" t="s">
        <v>347</v>
      </c>
      <c r="G10" t="s">
        <v>346</v>
      </c>
      <c r="H10" t="s">
        <v>9</v>
      </c>
      <c r="J10" s="1">
        <v>41732.030717592592</v>
      </c>
      <c r="K10" t="s">
        <v>345</v>
      </c>
      <c r="L10" t="s">
        <v>344</v>
      </c>
      <c r="N10" t="s">
        <v>27</v>
      </c>
      <c r="O10" t="s">
        <v>26</v>
      </c>
      <c r="P10" t="s">
        <v>343</v>
      </c>
      <c r="Q10" t="s">
        <v>13</v>
      </c>
      <c r="R10" t="s">
        <v>12</v>
      </c>
      <c r="S10" t="s">
        <v>342</v>
      </c>
      <c r="T10" t="s">
        <v>341</v>
      </c>
      <c r="U10" t="s">
        <v>340</v>
      </c>
      <c r="V10" t="s">
        <v>136</v>
      </c>
      <c r="W10" t="s">
        <v>577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topLeftCell="U1" workbookViewId="0">
      <selection activeCell="V2" sqref="V2"/>
    </sheetView>
  </sheetViews>
  <sheetFormatPr defaultRowHeight="15" x14ac:dyDescent="0.25"/>
  <cols>
    <col min="11" max="11" width="17.85546875" bestFit="1" customWidth="1"/>
    <col min="19" max="21" width="41.85546875" bestFit="1" customWidth="1"/>
    <col min="22" max="22" width="47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135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134</v>
      </c>
      <c r="L1" t="s">
        <v>133</v>
      </c>
      <c r="M1" t="s">
        <v>132</v>
      </c>
      <c r="N1" t="s">
        <v>131</v>
      </c>
      <c r="O1" t="s">
        <v>130</v>
      </c>
      <c r="P1" t="s">
        <v>129</v>
      </c>
      <c r="Q1" t="s">
        <v>128</v>
      </c>
      <c r="R1" t="s">
        <v>127</v>
      </c>
      <c r="S1" t="s">
        <v>126</v>
      </c>
      <c r="T1" t="s">
        <v>126</v>
      </c>
      <c r="U1" t="s">
        <v>126</v>
      </c>
      <c r="V1" t="s">
        <v>126</v>
      </c>
    </row>
    <row r="2" spans="1:23" x14ac:dyDescent="0.25">
      <c r="A2">
        <v>13</v>
      </c>
      <c r="B2" t="s">
        <v>468</v>
      </c>
      <c r="C2" t="s">
        <v>467</v>
      </c>
      <c r="D2" t="s">
        <v>21</v>
      </c>
      <c r="E2" t="s">
        <v>427</v>
      </c>
      <c r="G2" t="s">
        <v>466</v>
      </c>
      <c r="H2" t="s">
        <v>9</v>
      </c>
      <c r="J2" s="1">
        <v>41734.376608796294</v>
      </c>
      <c r="K2" t="s">
        <v>465</v>
      </c>
      <c r="L2" t="s">
        <v>464</v>
      </c>
      <c r="N2" t="s">
        <v>315</v>
      </c>
      <c r="O2" t="s">
        <v>26</v>
      </c>
      <c r="P2" t="s">
        <v>463</v>
      </c>
      <c r="Q2" t="s">
        <v>13</v>
      </c>
      <c r="R2" t="s">
        <v>12</v>
      </c>
      <c r="S2" t="s">
        <v>447</v>
      </c>
      <c r="T2" t="s">
        <v>145</v>
      </c>
      <c r="U2" t="s">
        <v>462</v>
      </c>
      <c r="V2" t="s">
        <v>350</v>
      </c>
      <c r="W2" t="s">
        <v>577</v>
      </c>
    </row>
    <row r="3" spans="1:23" x14ac:dyDescent="0.25">
      <c r="A3">
        <v>16</v>
      </c>
      <c r="B3" t="s">
        <v>459</v>
      </c>
      <c r="C3" t="s">
        <v>461</v>
      </c>
      <c r="D3" t="s">
        <v>21</v>
      </c>
      <c r="E3" t="s">
        <v>427</v>
      </c>
      <c r="G3" t="s">
        <v>460</v>
      </c>
      <c r="H3" t="s">
        <v>9</v>
      </c>
      <c r="J3" s="1">
        <v>41732.010312500002</v>
      </c>
      <c r="K3" t="s">
        <v>459</v>
      </c>
      <c r="L3" t="s">
        <v>458</v>
      </c>
      <c r="N3" t="s">
        <v>27</v>
      </c>
      <c r="O3" t="s">
        <v>26</v>
      </c>
      <c r="P3" t="s">
        <v>457</v>
      </c>
      <c r="Q3" t="s">
        <v>13</v>
      </c>
      <c r="R3" t="s">
        <v>12</v>
      </c>
      <c r="S3" t="s">
        <v>159</v>
      </c>
      <c r="T3" t="s">
        <v>145</v>
      </c>
      <c r="U3" t="s">
        <v>447</v>
      </c>
      <c r="V3" t="s">
        <v>144</v>
      </c>
      <c r="W3" t="s">
        <v>577</v>
      </c>
    </row>
    <row r="4" spans="1:23" x14ac:dyDescent="0.25">
      <c r="A4">
        <v>28</v>
      </c>
      <c r="B4" t="s">
        <v>454</v>
      </c>
      <c r="C4" t="s">
        <v>456</v>
      </c>
      <c r="D4" t="s">
        <v>21</v>
      </c>
      <c r="E4" t="s">
        <v>427</v>
      </c>
      <c r="G4" t="s">
        <v>455</v>
      </c>
      <c r="H4" t="s">
        <v>9</v>
      </c>
      <c r="J4" s="1">
        <v>41734.732199074075</v>
      </c>
      <c r="K4" t="s">
        <v>454</v>
      </c>
      <c r="L4" t="s">
        <v>453</v>
      </c>
      <c r="N4" t="s">
        <v>27</v>
      </c>
      <c r="O4" t="s">
        <v>26</v>
      </c>
      <c r="P4" t="s">
        <v>452</v>
      </c>
      <c r="Q4" t="s">
        <v>13</v>
      </c>
      <c r="R4" t="s">
        <v>12</v>
      </c>
      <c r="S4" t="s">
        <v>137</v>
      </c>
      <c r="T4" t="s">
        <v>159</v>
      </c>
      <c r="U4" t="s">
        <v>430</v>
      </c>
      <c r="V4" t="s">
        <v>179</v>
      </c>
      <c r="W4" t="s">
        <v>577</v>
      </c>
    </row>
    <row r="5" spans="1:23" x14ac:dyDescent="0.25">
      <c r="A5">
        <v>36</v>
      </c>
      <c r="B5" t="s">
        <v>449</v>
      </c>
      <c r="C5" t="s">
        <v>451</v>
      </c>
      <c r="D5" t="s">
        <v>21</v>
      </c>
      <c r="E5" t="s">
        <v>427</v>
      </c>
      <c r="G5" t="s">
        <v>450</v>
      </c>
      <c r="H5" t="s">
        <v>9</v>
      </c>
      <c r="J5" s="1">
        <v>41730.705092592594</v>
      </c>
      <c r="K5" t="s">
        <v>449</v>
      </c>
      <c r="L5" t="s">
        <v>448</v>
      </c>
      <c r="N5" t="s">
        <v>27</v>
      </c>
      <c r="O5" t="s">
        <v>26</v>
      </c>
      <c r="P5">
        <v>55410</v>
      </c>
      <c r="Q5" t="s">
        <v>13</v>
      </c>
      <c r="R5" t="s">
        <v>12</v>
      </c>
      <c r="S5" t="s">
        <v>447</v>
      </c>
      <c r="T5" t="s">
        <v>137</v>
      </c>
      <c r="U5" t="s">
        <v>159</v>
      </c>
      <c r="V5" t="s">
        <v>171</v>
      </c>
      <c r="W5" t="s">
        <v>577</v>
      </c>
    </row>
    <row r="6" spans="1:23" x14ac:dyDescent="0.25">
      <c r="A6">
        <v>45</v>
      </c>
      <c r="B6" t="s">
        <v>444</v>
      </c>
      <c r="C6" t="s">
        <v>446</v>
      </c>
      <c r="D6" t="s">
        <v>21</v>
      </c>
      <c r="E6" t="s">
        <v>427</v>
      </c>
      <c r="G6" t="s">
        <v>445</v>
      </c>
      <c r="H6" t="s">
        <v>9</v>
      </c>
      <c r="J6" s="1">
        <v>41730.814826388887</v>
      </c>
      <c r="K6" t="s">
        <v>444</v>
      </c>
      <c r="L6" t="s">
        <v>443</v>
      </c>
      <c r="N6" t="s">
        <v>56</v>
      </c>
      <c r="O6" t="s">
        <v>26</v>
      </c>
      <c r="P6" t="s">
        <v>442</v>
      </c>
      <c r="Q6" t="s">
        <v>13</v>
      </c>
      <c r="R6" t="s">
        <v>12</v>
      </c>
      <c r="S6" t="s">
        <v>137</v>
      </c>
      <c r="T6" t="s">
        <v>137</v>
      </c>
      <c r="U6" t="s">
        <v>159</v>
      </c>
      <c r="V6" t="s">
        <v>350</v>
      </c>
      <c r="W6" t="s">
        <v>577</v>
      </c>
    </row>
    <row r="7" spans="1:23" x14ac:dyDescent="0.25">
      <c r="A7">
        <v>54</v>
      </c>
      <c r="B7" t="s">
        <v>441</v>
      </c>
      <c r="C7" t="s">
        <v>440</v>
      </c>
      <c r="D7" t="s">
        <v>21</v>
      </c>
      <c r="E7" t="s">
        <v>427</v>
      </c>
      <c r="G7" t="s">
        <v>439</v>
      </c>
      <c r="H7" t="s">
        <v>9</v>
      </c>
      <c r="J7" s="1">
        <v>41730.767071759263</v>
      </c>
      <c r="K7" t="s">
        <v>438</v>
      </c>
      <c r="L7" t="s">
        <v>437</v>
      </c>
      <c r="N7" t="s">
        <v>27</v>
      </c>
      <c r="O7" t="s">
        <v>26</v>
      </c>
      <c r="P7" t="s">
        <v>436</v>
      </c>
      <c r="Q7" t="s">
        <v>13</v>
      </c>
      <c r="R7" t="s">
        <v>12</v>
      </c>
      <c r="S7" t="s">
        <v>430</v>
      </c>
      <c r="T7" t="s">
        <v>137</v>
      </c>
      <c r="U7" t="s">
        <v>159</v>
      </c>
      <c r="V7" t="s">
        <v>220</v>
      </c>
      <c r="W7" t="s">
        <v>577</v>
      </c>
    </row>
    <row r="8" spans="1:23" x14ac:dyDescent="0.25">
      <c r="A8">
        <v>77</v>
      </c>
      <c r="B8" t="s">
        <v>433</v>
      </c>
      <c r="C8" t="s">
        <v>435</v>
      </c>
      <c r="D8" t="s">
        <v>21</v>
      </c>
      <c r="E8" t="s">
        <v>427</v>
      </c>
      <c r="G8" t="s">
        <v>434</v>
      </c>
      <c r="H8" t="s">
        <v>9</v>
      </c>
      <c r="J8" s="1">
        <v>41730.714999999997</v>
      </c>
      <c r="K8" t="s">
        <v>433</v>
      </c>
      <c r="L8" t="s">
        <v>432</v>
      </c>
      <c r="N8" t="s">
        <v>27</v>
      </c>
      <c r="O8" t="s">
        <v>26</v>
      </c>
      <c r="P8" t="s">
        <v>431</v>
      </c>
      <c r="Q8" t="s">
        <v>13</v>
      </c>
      <c r="R8" t="s">
        <v>12</v>
      </c>
      <c r="S8" t="s">
        <v>159</v>
      </c>
      <c r="T8" t="s">
        <v>430</v>
      </c>
      <c r="U8" t="s">
        <v>137</v>
      </c>
      <c r="V8" t="s">
        <v>220</v>
      </c>
      <c r="W8" t="s">
        <v>577</v>
      </c>
    </row>
    <row r="9" spans="1:23" x14ac:dyDescent="0.25">
      <c r="A9">
        <v>92</v>
      </c>
      <c r="B9" t="s">
        <v>429</v>
      </c>
      <c r="C9" t="s">
        <v>428</v>
      </c>
      <c r="D9" t="s">
        <v>21</v>
      </c>
      <c r="E9" t="s">
        <v>427</v>
      </c>
      <c r="G9" t="s">
        <v>426</v>
      </c>
      <c r="H9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opLeftCell="N1" workbookViewId="0">
      <selection activeCell="K2" sqref="K2:K5"/>
    </sheetView>
  </sheetViews>
  <sheetFormatPr defaultRowHeight="15" x14ac:dyDescent="0.25"/>
  <cols>
    <col min="11" max="11" width="14.5703125" bestFit="1" customWidth="1"/>
    <col min="19" max="19" width="47.28515625" bestFit="1" customWidth="1"/>
    <col min="20" max="20" width="36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135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134</v>
      </c>
      <c r="L1" t="s">
        <v>133</v>
      </c>
      <c r="M1" t="s">
        <v>132</v>
      </c>
      <c r="N1" t="s">
        <v>131</v>
      </c>
      <c r="O1" t="s">
        <v>130</v>
      </c>
      <c r="P1" t="s">
        <v>129</v>
      </c>
      <c r="Q1" t="s">
        <v>128</v>
      </c>
      <c r="R1" t="s">
        <v>127</v>
      </c>
      <c r="S1" t="s">
        <v>126</v>
      </c>
      <c r="T1" t="s">
        <v>126</v>
      </c>
    </row>
    <row r="2" spans="1:20" x14ac:dyDescent="0.25">
      <c r="A2">
        <v>35</v>
      </c>
      <c r="B2" t="s">
        <v>423</v>
      </c>
      <c r="C2" t="s">
        <v>425</v>
      </c>
      <c r="D2" t="s">
        <v>21</v>
      </c>
      <c r="E2" t="s">
        <v>400</v>
      </c>
      <c r="G2" t="s">
        <v>424</v>
      </c>
      <c r="H2" t="s">
        <v>9</v>
      </c>
      <c r="J2" s="1">
        <v>41730.659201388888</v>
      </c>
      <c r="K2" t="s">
        <v>423</v>
      </c>
      <c r="L2" t="s">
        <v>422</v>
      </c>
      <c r="N2" t="s">
        <v>27</v>
      </c>
      <c r="O2" t="s">
        <v>26</v>
      </c>
      <c r="P2" t="s">
        <v>421</v>
      </c>
      <c r="Q2" t="s">
        <v>13</v>
      </c>
      <c r="R2" t="s">
        <v>12</v>
      </c>
      <c r="S2" t="s">
        <v>403</v>
      </c>
      <c r="T2" t="s">
        <v>144</v>
      </c>
    </row>
    <row r="3" spans="1:20" x14ac:dyDescent="0.25">
      <c r="A3">
        <v>41</v>
      </c>
      <c r="B3" t="s">
        <v>418</v>
      </c>
      <c r="C3" t="s">
        <v>420</v>
      </c>
      <c r="D3" t="s">
        <v>21</v>
      </c>
      <c r="E3" t="s">
        <v>400</v>
      </c>
      <c r="G3" t="s">
        <v>419</v>
      </c>
      <c r="H3" t="s">
        <v>9</v>
      </c>
      <c r="J3" s="1">
        <v>41730.684212962966</v>
      </c>
      <c r="K3" t="s">
        <v>418</v>
      </c>
      <c r="L3" t="s">
        <v>417</v>
      </c>
      <c r="N3" t="s">
        <v>416</v>
      </c>
      <c r="O3" t="s">
        <v>26</v>
      </c>
      <c r="P3" t="s">
        <v>415</v>
      </c>
      <c r="Q3" t="s">
        <v>13</v>
      </c>
      <c r="R3" t="s">
        <v>12</v>
      </c>
      <c r="S3" t="s">
        <v>403</v>
      </c>
      <c r="T3" t="s">
        <v>171</v>
      </c>
    </row>
    <row r="4" spans="1:20" x14ac:dyDescent="0.25">
      <c r="A4">
        <v>64</v>
      </c>
      <c r="B4" t="s">
        <v>414</v>
      </c>
      <c r="C4" t="s">
        <v>413</v>
      </c>
      <c r="D4" t="s">
        <v>21</v>
      </c>
      <c r="E4" t="s">
        <v>400</v>
      </c>
      <c r="G4" t="s">
        <v>412</v>
      </c>
      <c r="H4" t="s">
        <v>9</v>
      </c>
    </row>
    <row r="5" spans="1:20" x14ac:dyDescent="0.25">
      <c r="A5">
        <v>71</v>
      </c>
      <c r="B5" t="s">
        <v>408</v>
      </c>
      <c r="C5" t="s">
        <v>411</v>
      </c>
      <c r="D5" t="s">
        <v>21</v>
      </c>
      <c r="E5" t="s">
        <v>410</v>
      </c>
      <c r="G5" t="s">
        <v>409</v>
      </c>
      <c r="H5" t="s">
        <v>9</v>
      </c>
      <c r="J5" s="1">
        <v>41730.712372685186</v>
      </c>
      <c r="K5" t="s">
        <v>408</v>
      </c>
      <c r="L5" t="s">
        <v>407</v>
      </c>
      <c r="N5" t="s">
        <v>406</v>
      </c>
      <c r="O5" t="s">
        <v>405</v>
      </c>
      <c r="P5" t="s">
        <v>404</v>
      </c>
      <c r="Q5" t="s">
        <v>13</v>
      </c>
      <c r="R5" t="s">
        <v>12</v>
      </c>
      <c r="S5" t="s">
        <v>403</v>
      </c>
      <c r="T5" t="s">
        <v>220</v>
      </c>
    </row>
    <row r="6" spans="1:20" x14ac:dyDescent="0.25">
      <c r="A6">
        <v>89</v>
      </c>
      <c r="B6" t="s">
        <v>402</v>
      </c>
      <c r="C6" t="s">
        <v>401</v>
      </c>
      <c r="D6" t="s">
        <v>21</v>
      </c>
      <c r="E6" t="s">
        <v>400</v>
      </c>
      <c r="G6" t="s">
        <v>399</v>
      </c>
      <c r="H6" t="s">
        <v>9</v>
      </c>
      <c r="S6" t="s">
        <v>579</v>
      </c>
      <c r="T6" t="s">
        <v>580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workbookViewId="0">
      <selection activeCell="H7" sqref="H7"/>
    </sheetView>
  </sheetViews>
  <sheetFormatPr defaultRowHeight="15" x14ac:dyDescent="0.25"/>
  <cols>
    <col min="11" max="11" width="18.5703125" bestFit="1" customWidth="1"/>
    <col min="19" max="19" width="31.28515625" bestFit="1" customWidth="1"/>
    <col min="20" max="20" width="31.85546875" bestFit="1" customWidth="1"/>
    <col min="21" max="21" width="41.85546875" bestFit="1" customWidth="1"/>
    <col min="22" max="22" width="49.28515625" bestFit="1" customWidth="1"/>
    <col min="23" max="23" width="9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135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134</v>
      </c>
      <c r="L1" t="s">
        <v>133</v>
      </c>
      <c r="M1" t="s">
        <v>132</v>
      </c>
      <c r="N1" t="s">
        <v>131</v>
      </c>
      <c r="O1" t="s">
        <v>130</v>
      </c>
      <c r="P1" t="s">
        <v>129</v>
      </c>
      <c r="Q1" t="s">
        <v>128</v>
      </c>
      <c r="R1" t="s">
        <v>127</v>
      </c>
      <c r="S1" t="s">
        <v>126</v>
      </c>
      <c r="T1" t="s">
        <v>126</v>
      </c>
      <c r="U1" t="s">
        <v>126</v>
      </c>
      <c r="V1" t="s">
        <v>126</v>
      </c>
      <c r="X1" t="s">
        <v>500</v>
      </c>
      <c r="Y1" t="s">
        <v>499</v>
      </c>
    </row>
    <row r="2" spans="1:25" x14ac:dyDescent="0.25">
      <c r="A2">
        <v>11</v>
      </c>
      <c r="B2" t="s">
        <v>496</v>
      </c>
      <c r="C2" t="s">
        <v>498</v>
      </c>
      <c r="D2" t="s">
        <v>21</v>
      </c>
      <c r="E2" t="s">
        <v>475</v>
      </c>
      <c r="G2" t="s">
        <v>497</v>
      </c>
      <c r="H2" t="s">
        <v>9</v>
      </c>
      <c r="J2" s="1">
        <v>41736.433078703703</v>
      </c>
      <c r="K2" t="s">
        <v>496</v>
      </c>
      <c r="L2" t="s">
        <v>491</v>
      </c>
      <c r="N2" t="s">
        <v>373</v>
      </c>
      <c r="O2" t="s">
        <v>26</v>
      </c>
      <c r="P2" t="s">
        <v>490</v>
      </c>
      <c r="Q2" t="s">
        <v>13</v>
      </c>
      <c r="R2" t="s">
        <v>12</v>
      </c>
      <c r="S2" t="s">
        <v>462</v>
      </c>
      <c r="T2" t="s">
        <v>159</v>
      </c>
      <c r="U2" t="s">
        <v>137</v>
      </c>
      <c r="V2" t="s">
        <v>220</v>
      </c>
      <c r="X2" t="s">
        <v>495</v>
      </c>
      <c r="Y2" s="2">
        <v>41824</v>
      </c>
    </row>
    <row r="3" spans="1:25" x14ac:dyDescent="0.25">
      <c r="A3">
        <v>21</v>
      </c>
      <c r="B3" t="s">
        <v>492</v>
      </c>
      <c r="C3" t="s">
        <v>494</v>
      </c>
      <c r="D3" t="s">
        <v>21</v>
      </c>
      <c r="E3" t="s">
        <v>475</v>
      </c>
      <c r="G3" t="s">
        <v>493</v>
      </c>
      <c r="H3" t="s">
        <v>9</v>
      </c>
      <c r="J3" s="1">
        <v>41730.940613425926</v>
      </c>
      <c r="K3" t="s">
        <v>492</v>
      </c>
      <c r="L3" t="s">
        <v>491</v>
      </c>
      <c r="N3" t="s">
        <v>373</v>
      </c>
      <c r="O3" t="s">
        <v>26</v>
      </c>
      <c r="P3" t="s">
        <v>490</v>
      </c>
      <c r="Q3" t="s">
        <v>13</v>
      </c>
      <c r="R3" t="s">
        <v>12</v>
      </c>
      <c r="S3" t="s">
        <v>447</v>
      </c>
      <c r="T3" t="s">
        <v>489</v>
      </c>
      <c r="U3" t="s">
        <v>145</v>
      </c>
      <c r="V3" t="s">
        <v>488</v>
      </c>
      <c r="W3" t="s">
        <v>578</v>
      </c>
      <c r="X3" t="s">
        <v>487</v>
      </c>
      <c r="Y3" t="s">
        <v>486</v>
      </c>
    </row>
    <row r="4" spans="1:25" x14ac:dyDescent="0.25">
      <c r="A4">
        <v>24</v>
      </c>
      <c r="B4" t="s">
        <v>485</v>
      </c>
      <c r="C4" t="s">
        <v>484</v>
      </c>
      <c r="D4" t="s">
        <v>21</v>
      </c>
      <c r="E4" t="s">
        <v>475</v>
      </c>
      <c r="G4" t="s">
        <v>483</v>
      </c>
      <c r="H4" t="s">
        <v>9</v>
      </c>
      <c r="J4" s="1">
        <v>41735.853472222225</v>
      </c>
      <c r="K4" t="s">
        <v>482</v>
      </c>
      <c r="L4" t="s">
        <v>481</v>
      </c>
      <c r="N4" t="s">
        <v>480</v>
      </c>
      <c r="O4" t="s">
        <v>26</v>
      </c>
      <c r="P4" t="s">
        <v>479</v>
      </c>
      <c r="Q4" t="s">
        <v>13</v>
      </c>
      <c r="R4" t="s">
        <v>12</v>
      </c>
      <c r="S4" t="s">
        <v>145</v>
      </c>
      <c r="T4" t="s">
        <v>462</v>
      </c>
      <c r="U4" t="s">
        <v>159</v>
      </c>
      <c r="V4" t="s">
        <v>342</v>
      </c>
      <c r="X4" t="s">
        <v>478</v>
      </c>
      <c r="Y4" t="s">
        <v>477</v>
      </c>
    </row>
    <row r="5" spans="1:25" x14ac:dyDescent="0.25">
      <c r="A5">
        <v>33</v>
      </c>
      <c r="B5" t="s">
        <v>473</v>
      </c>
      <c r="C5" t="s">
        <v>476</v>
      </c>
      <c r="D5" t="s">
        <v>21</v>
      </c>
      <c r="E5" t="s">
        <v>475</v>
      </c>
      <c r="G5" t="s">
        <v>474</v>
      </c>
      <c r="H5" t="s">
        <v>9</v>
      </c>
      <c r="J5" s="1">
        <v>41731.667013888888</v>
      </c>
      <c r="K5" t="s">
        <v>473</v>
      </c>
      <c r="L5" t="s">
        <v>374</v>
      </c>
      <c r="N5" t="s">
        <v>373</v>
      </c>
      <c r="O5" t="s">
        <v>26</v>
      </c>
      <c r="P5" t="s">
        <v>372</v>
      </c>
      <c r="Q5" t="s">
        <v>13</v>
      </c>
      <c r="R5" t="s">
        <v>12</v>
      </c>
      <c r="S5" t="s">
        <v>137</v>
      </c>
      <c r="T5" t="s">
        <v>472</v>
      </c>
      <c r="U5" t="s">
        <v>462</v>
      </c>
      <c r="V5" t="s">
        <v>471</v>
      </c>
      <c r="W5" t="s">
        <v>577</v>
      </c>
      <c r="X5" t="s">
        <v>470</v>
      </c>
      <c r="Y5" t="s">
        <v>469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135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134</v>
      </c>
      <c r="L1" t="s">
        <v>133</v>
      </c>
      <c r="M1" t="s">
        <v>132</v>
      </c>
      <c r="N1" t="s">
        <v>131</v>
      </c>
      <c r="O1" t="s">
        <v>130</v>
      </c>
      <c r="P1" t="s">
        <v>129</v>
      </c>
      <c r="Q1" t="s">
        <v>128</v>
      </c>
      <c r="R1" t="s">
        <v>127</v>
      </c>
      <c r="S1" t="s">
        <v>500</v>
      </c>
      <c r="T1" t="s">
        <v>499</v>
      </c>
      <c r="U1" t="s">
        <v>126</v>
      </c>
      <c r="V1" t="s">
        <v>126</v>
      </c>
      <c r="W1" t="s">
        <v>126</v>
      </c>
      <c r="X1" t="s">
        <v>126</v>
      </c>
    </row>
    <row r="2" spans="1:24" x14ac:dyDescent="0.25">
      <c r="A2">
        <v>56</v>
      </c>
      <c r="B2" t="s">
        <v>504</v>
      </c>
      <c r="C2" t="s">
        <v>503</v>
      </c>
      <c r="D2" t="s">
        <v>21</v>
      </c>
      <c r="E2" t="s">
        <v>502</v>
      </c>
      <c r="G2" t="s">
        <v>501</v>
      </c>
      <c r="H2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opLeftCell="Q1" workbookViewId="0">
      <selection activeCell="U35" sqref="U35"/>
    </sheetView>
  </sheetViews>
  <sheetFormatPr defaultRowHeight="15" x14ac:dyDescent="0.25"/>
  <cols>
    <col min="20" max="20" width="18.7109375" customWidth="1"/>
    <col min="21" max="21" width="31.28515625" bestFit="1" customWidth="1"/>
    <col min="22" max="22" width="41.85546875" bestFit="1" customWidth="1"/>
    <col min="23" max="23" width="26.5703125" bestFit="1" customWidth="1"/>
    <col min="24" max="24" width="47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135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134</v>
      </c>
      <c r="L1" t="s">
        <v>133</v>
      </c>
      <c r="M1" t="s">
        <v>132</v>
      </c>
      <c r="N1" t="s">
        <v>131</v>
      </c>
      <c r="O1" t="s">
        <v>130</v>
      </c>
      <c r="P1" t="s">
        <v>129</v>
      </c>
      <c r="Q1" t="s">
        <v>128</v>
      </c>
      <c r="R1" t="s">
        <v>127</v>
      </c>
      <c r="S1" t="s">
        <v>518</v>
      </c>
      <c r="T1" t="s">
        <v>517</v>
      </c>
      <c r="U1" t="s">
        <v>126</v>
      </c>
      <c r="V1" t="s">
        <v>126</v>
      </c>
      <c r="W1" t="s">
        <v>126</v>
      </c>
      <c r="X1" t="s">
        <v>126</v>
      </c>
    </row>
    <row r="2" spans="1:25" x14ac:dyDescent="0.25">
      <c r="A2">
        <v>59</v>
      </c>
      <c r="B2" t="s">
        <v>516</v>
      </c>
      <c r="C2" t="s">
        <v>515</v>
      </c>
      <c r="D2" t="s">
        <v>21</v>
      </c>
      <c r="E2" t="s">
        <v>514</v>
      </c>
      <c r="G2" t="s">
        <v>513</v>
      </c>
      <c r="H2" t="s">
        <v>9</v>
      </c>
      <c r="J2" s="1">
        <v>41731.663912037038</v>
      </c>
      <c r="K2" t="s">
        <v>512</v>
      </c>
      <c r="L2" t="s">
        <v>511</v>
      </c>
      <c r="N2" t="s">
        <v>510</v>
      </c>
      <c r="O2" t="s">
        <v>509</v>
      </c>
      <c r="P2" t="s">
        <v>508</v>
      </c>
      <c r="Q2" t="s">
        <v>13</v>
      </c>
      <c r="R2" t="s">
        <v>12</v>
      </c>
      <c r="S2" t="s">
        <v>507</v>
      </c>
      <c r="T2" t="s">
        <v>506</v>
      </c>
      <c r="U2" t="s">
        <v>258</v>
      </c>
      <c r="V2" t="s">
        <v>329</v>
      </c>
      <c r="W2" t="s">
        <v>505</v>
      </c>
      <c r="X2" t="s">
        <v>136</v>
      </c>
      <c r="Y2" t="s">
        <v>577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B15" sqref="B15"/>
    </sheetView>
  </sheetViews>
  <sheetFormatPr defaultRowHeight="15" x14ac:dyDescent="0.25"/>
  <cols>
    <col min="2" max="2" width="1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</row>
    <row r="2" spans="1:7" x14ac:dyDescent="0.25">
      <c r="A2">
        <v>14</v>
      </c>
      <c r="B2" t="s">
        <v>565</v>
      </c>
      <c r="C2" t="s">
        <v>564</v>
      </c>
      <c r="D2" t="s">
        <v>377</v>
      </c>
      <c r="E2" t="s">
        <v>563</v>
      </c>
      <c r="F2" t="s">
        <v>9</v>
      </c>
    </row>
    <row r="3" spans="1:7" x14ac:dyDescent="0.25">
      <c r="A3">
        <v>19</v>
      </c>
      <c r="B3" t="s">
        <v>562</v>
      </c>
      <c r="C3" t="s">
        <v>561</v>
      </c>
      <c r="D3" t="s">
        <v>560</v>
      </c>
      <c r="E3" t="s">
        <v>559</v>
      </c>
      <c r="F3" t="s">
        <v>9</v>
      </c>
    </row>
    <row r="4" spans="1:7" x14ac:dyDescent="0.25">
      <c r="A4">
        <v>20</v>
      </c>
      <c r="B4" t="s">
        <v>558</v>
      </c>
      <c r="C4" t="s">
        <v>557</v>
      </c>
      <c r="D4" t="s">
        <v>524</v>
      </c>
      <c r="E4" t="s">
        <v>556</v>
      </c>
      <c r="F4" t="s">
        <v>9</v>
      </c>
    </row>
    <row r="5" spans="1:7" x14ac:dyDescent="0.25">
      <c r="A5">
        <v>34</v>
      </c>
      <c r="B5" t="s">
        <v>555</v>
      </c>
      <c r="C5" t="s">
        <v>554</v>
      </c>
      <c r="D5" t="s">
        <v>524</v>
      </c>
      <c r="E5" t="s">
        <v>553</v>
      </c>
      <c r="F5" t="s">
        <v>9</v>
      </c>
    </row>
    <row r="6" spans="1:7" x14ac:dyDescent="0.25">
      <c r="A6">
        <v>39</v>
      </c>
      <c r="B6" t="s">
        <v>552</v>
      </c>
      <c r="C6" t="s">
        <v>551</v>
      </c>
      <c r="D6" t="s">
        <v>524</v>
      </c>
      <c r="E6" t="s">
        <v>550</v>
      </c>
      <c r="F6" t="s">
        <v>9</v>
      </c>
    </row>
    <row r="7" spans="1:7" x14ac:dyDescent="0.25">
      <c r="A7">
        <v>40</v>
      </c>
      <c r="B7" t="s">
        <v>549</v>
      </c>
      <c r="C7" t="s">
        <v>548</v>
      </c>
      <c r="D7" t="s">
        <v>524</v>
      </c>
      <c r="E7" t="s">
        <v>547</v>
      </c>
      <c r="F7" t="s">
        <v>9</v>
      </c>
    </row>
    <row r="8" spans="1:7" x14ac:dyDescent="0.25">
      <c r="A8">
        <v>50</v>
      </c>
      <c r="B8" t="s">
        <v>546</v>
      </c>
      <c r="C8" t="s">
        <v>545</v>
      </c>
      <c r="D8" t="s">
        <v>524</v>
      </c>
      <c r="E8" t="s">
        <v>544</v>
      </c>
      <c r="F8" t="s">
        <v>9</v>
      </c>
    </row>
    <row r="9" spans="1:7" x14ac:dyDescent="0.25">
      <c r="A9">
        <v>61</v>
      </c>
      <c r="B9" t="s">
        <v>543</v>
      </c>
      <c r="C9" t="s">
        <v>542</v>
      </c>
      <c r="D9" t="s">
        <v>524</v>
      </c>
      <c r="E9" t="s">
        <v>541</v>
      </c>
      <c r="F9" t="s">
        <v>9</v>
      </c>
    </row>
    <row r="10" spans="1:7" x14ac:dyDescent="0.25">
      <c r="A10">
        <v>65</v>
      </c>
      <c r="B10" t="s">
        <v>540</v>
      </c>
      <c r="C10" t="s">
        <v>539</v>
      </c>
      <c r="D10" t="s">
        <v>524</v>
      </c>
      <c r="E10" t="s">
        <v>538</v>
      </c>
      <c r="F10" t="s">
        <v>9</v>
      </c>
    </row>
    <row r="11" spans="1:7" x14ac:dyDescent="0.25">
      <c r="A11">
        <v>67</v>
      </c>
      <c r="B11" t="s">
        <v>537</v>
      </c>
      <c r="C11" t="s">
        <v>536</v>
      </c>
      <c r="D11" t="s">
        <v>535</v>
      </c>
      <c r="E11" t="s">
        <v>534</v>
      </c>
      <c r="F11" t="s">
        <v>9</v>
      </c>
      <c r="G11" t="s">
        <v>566</v>
      </c>
    </row>
    <row r="12" spans="1:7" x14ac:dyDescent="0.25">
      <c r="A12">
        <v>70</v>
      </c>
      <c r="B12" t="s">
        <v>533</v>
      </c>
      <c r="C12" t="s">
        <v>532</v>
      </c>
      <c r="D12" t="s">
        <v>531</v>
      </c>
      <c r="E12" t="s">
        <v>530</v>
      </c>
      <c r="F12" t="s">
        <v>9</v>
      </c>
    </row>
    <row r="13" spans="1:7" x14ac:dyDescent="0.25">
      <c r="A13">
        <v>79</v>
      </c>
      <c r="B13" t="s">
        <v>529</v>
      </c>
      <c r="C13" t="s">
        <v>528</v>
      </c>
      <c r="D13" t="s">
        <v>524</v>
      </c>
      <c r="E13" t="s">
        <v>527</v>
      </c>
      <c r="F13" t="s">
        <v>9</v>
      </c>
    </row>
    <row r="14" spans="1:7" x14ac:dyDescent="0.25">
      <c r="A14">
        <v>80</v>
      </c>
      <c r="B14" t="s">
        <v>526</v>
      </c>
      <c r="C14" t="s">
        <v>525</v>
      </c>
      <c r="D14" t="s">
        <v>524</v>
      </c>
      <c r="E14" t="s">
        <v>523</v>
      </c>
      <c r="F14" t="s">
        <v>9</v>
      </c>
    </row>
    <row r="15" spans="1:7" x14ac:dyDescent="0.25">
      <c r="A15">
        <v>84</v>
      </c>
      <c r="B15" t="s">
        <v>522</v>
      </c>
      <c r="C15" t="s">
        <v>521</v>
      </c>
      <c r="D15" t="s">
        <v>520</v>
      </c>
      <c r="E15" t="s">
        <v>519</v>
      </c>
      <c r="F15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workbookViewId="0">
      <selection activeCell="F1" sqref="F1"/>
    </sheetView>
  </sheetViews>
  <sheetFormatPr defaultRowHeight="15" x14ac:dyDescent="0.25"/>
  <cols>
    <col min="1" max="1" width="49.28515625" bestFit="1" customWidth="1"/>
    <col min="2" max="2" width="4" bestFit="1" customWidth="1"/>
  </cols>
  <sheetData>
    <row r="1" spans="1:6" x14ac:dyDescent="0.25">
      <c r="A1" t="s">
        <v>359</v>
      </c>
      <c r="B1">
        <v>45</v>
      </c>
      <c r="E1">
        <v>1</v>
      </c>
      <c r="F1">
        <v>12</v>
      </c>
    </row>
    <row r="2" spans="1:6" x14ac:dyDescent="0.25">
      <c r="A2" t="s">
        <v>359</v>
      </c>
      <c r="B2">
        <v>45</v>
      </c>
      <c r="E2">
        <v>2</v>
      </c>
      <c r="F2">
        <v>25</v>
      </c>
    </row>
    <row r="3" spans="1:6" x14ac:dyDescent="0.25">
      <c r="A3" t="s">
        <v>220</v>
      </c>
      <c r="B3">
        <v>35</v>
      </c>
      <c r="E3">
        <v>3</v>
      </c>
      <c r="F3">
        <v>18</v>
      </c>
    </row>
    <row r="4" spans="1:6" x14ac:dyDescent="0.25">
      <c r="A4" t="s">
        <v>220</v>
      </c>
      <c r="B4">
        <v>35</v>
      </c>
      <c r="E4">
        <v>4</v>
      </c>
      <c r="F4">
        <v>8</v>
      </c>
    </row>
    <row r="5" spans="1:6" x14ac:dyDescent="0.25">
      <c r="A5" t="s">
        <v>220</v>
      </c>
      <c r="B5">
        <v>35</v>
      </c>
      <c r="E5">
        <v>5</v>
      </c>
      <c r="F5">
        <v>6</v>
      </c>
    </row>
    <row r="6" spans="1:6" x14ac:dyDescent="0.25">
      <c r="A6" t="s">
        <v>220</v>
      </c>
      <c r="B6">
        <v>35</v>
      </c>
      <c r="E6">
        <v>6</v>
      </c>
      <c r="F6">
        <v>8</v>
      </c>
    </row>
    <row r="7" spans="1:6" x14ac:dyDescent="0.25">
      <c r="A7" t="s">
        <v>220</v>
      </c>
      <c r="B7">
        <v>40</v>
      </c>
      <c r="E7">
        <v>7</v>
      </c>
      <c r="F7">
        <v>22</v>
      </c>
    </row>
    <row r="8" spans="1:6" x14ac:dyDescent="0.25">
      <c r="A8" t="s">
        <v>220</v>
      </c>
      <c r="B8">
        <v>40</v>
      </c>
      <c r="E8">
        <v>8</v>
      </c>
      <c r="F8">
        <v>8</v>
      </c>
    </row>
    <row r="9" spans="1:6" x14ac:dyDescent="0.25">
      <c r="A9" t="s">
        <v>220</v>
      </c>
      <c r="B9">
        <v>70</v>
      </c>
      <c r="E9">
        <v>9</v>
      </c>
      <c r="F9">
        <v>4</v>
      </c>
    </row>
    <row r="10" spans="1:6" x14ac:dyDescent="0.25">
      <c r="A10" t="s">
        <v>220</v>
      </c>
      <c r="B10">
        <v>70</v>
      </c>
      <c r="E10">
        <v>10</v>
      </c>
      <c r="F10">
        <v>1</v>
      </c>
    </row>
    <row r="11" spans="1:6" x14ac:dyDescent="0.25">
      <c r="A11" t="s">
        <v>220</v>
      </c>
      <c r="B11">
        <v>125</v>
      </c>
      <c r="E11" t="s">
        <v>569</v>
      </c>
      <c r="F11">
        <f>SUM(F1:F10)</f>
        <v>112</v>
      </c>
    </row>
    <row r="12" spans="1:6" x14ac:dyDescent="0.25">
      <c r="A12" t="s">
        <v>62</v>
      </c>
      <c r="B12">
        <v>20</v>
      </c>
    </row>
    <row r="13" spans="1:6" x14ac:dyDescent="0.25">
      <c r="A13" t="s">
        <v>62</v>
      </c>
      <c r="B13">
        <v>20</v>
      </c>
    </row>
    <row r="14" spans="1:6" x14ac:dyDescent="0.25">
      <c r="A14" t="s">
        <v>112</v>
      </c>
      <c r="B14">
        <v>20</v>
      </c>
    </row>
    <row r="15" spans="1:6" x14ac:dyDescent="0.25">
      <c r="A15" t="s">
        <v>342</v>
      </c>
      <c r="B15">
        <v>45</v>
      </c>
    </row>
    <row r="16" spans="1:6" x14ac:dyDescent="0.25">
      <c r="A16" t="s">
        <v>342</v>
      </c>
      <c r="B16">
        <v>45</v>
      </c>
    </row>
    <row r="17" spans="1:2" x14ac:dyDescent="0.25">
      <c r="A17" t="s">
        <v>342</v>
      </c>
      <c r="B17">
        <v>45</v>
      </c>
    </row>
    <row r="18" spans="1:2" x14ac:dyDescent="0.25">
      <c r="A18" t="s">
        <v>342</v>
      </c>
      <c r="B18">
        <v>45</v>
      </c>
    </row>
    <row r="19" spans="1:2" x14ac:dyDescent="0.25">
      <c r="A19" t="s">
        <v>342</v>
      </c>
      <c r="B19">
        <v>45</v>
      </c>
    </row>
    <row r="20" spans="1:2" x14ac:dyDescent="0.25">
      <c r="A20" t="s">
        <v>342</v>
      </c>
      <c r="B20">
        <v>45</v>
      </c>
    </row>
    <row r="21" spans="1:2" x14ac:dyDescent="0.25">
      <c r="A21" t="s">
        <v>342</v>
      </c>
      <c r="B21">
        <v>45</v>
      </c>
    </row>
    <row r="22" spans="1:2" x14ac:dyDescent="0.25">
      <c r="A22" t="s">
        <v>144</v>
      </c>
      <c r="B22">
        <v>30</v>
      </c>
    </row>
    <row r="23" spans="1:2" x14ac:dyDescent="0.25">
      <c r="A23" t="s">
        <v>144</v>
      </c>
      <c r="B23">
        <v>30</v>
      </c>
    </row>
    <row r="24" spans="1:2" x14ac:dyDescent="0.25">
      <c r="A24" t="s">
        <v>144</v>
      </c>
      <c r="B24">
        <v>30</v>
      </c>
    </row>
    <row r="25" spans="1:2" x14ac:dyDescent="0.25">
      <c r="A25" t="s">
        <v>144</v>
      </c>
      <c r="B25">
        <v>30</v>
      </c>
    </row>
    <row r="26" spans="1:2" x14ac:dyDescent="0.25">
      <c r="A26" t="s">
        <v>144</v>
      </c>
      <c r="B26">
        <v>35</v>
      </c>
    </row>
    <row r="27" spans="1:2" x14ac:dyDescent="0.25">
      <c r="A27" t="s">
        <v>144</v>
      </c>
      <c r="B27">
        <v>40</v>
      </c>
    </row>
    <row r="28" spans="1:2" x14ac:dyDescent="0.25">
      <c r="A28" t="s">
        <v>144</v>
      </c>
      <c r="B28">
        <v>40</v>
      </c>
    </row>
    <row r="29" spans="1:2" x14ac:dyDescent="0.25">
      <c r="A29" t="s">
        <v>144</v>
      </c>
      <c r="B29">
        <v>40</v>
      </c>
    </row>
    <row r="30" spans="1:2" x14ac:dyDescent="0.25">
      <c r="A30" t="s">
        <v>144</v>
      </c>
      <c r="B30">
        <v>45</v>
      </c>
    </row>
    <row r="31" spans="1:2" x14ac:dyDescent="0.25">
      <c r="A31" t="s">
        <v>144</v>
      </c>
      <c r="B31">
        <v>70</v>
      </c>
    </row>
    <row r="32" spans="1:2" x14ac:dyDescent="0.25">
      <c r="A32" t="s">
        <v>144</v>
      </c>
      <c r="B32">
        <v>125</v>
      </c>
    </row>
    <row r="33" spans="1:2" x14ac:dyDescent="0.25">
      <c r="A33" t="s">
        <v>10</v>
      </c>
      <c r="B33">
        <v>20</v>
      </c>
    </row>
    <row r="34" spans="1:2" x14ac:dyDescent="0.25">
      <c r="A34" t="s">
        <v>10</v>
      </c>
      <c r="B34">
        <v>20</v>
      </c>
    </row>
    <row r="35" spans="1:2" x14ac:dyDescent="0.25">
      <c r="A35" t="s">
        <v>10</v>
      </c>
      <c r="B35">
        <v>20</v>
      </c>
    </row>
    <row r="36" spans="1:2" x14ac:dyDescent="0.25">
      <c r="A36" t="s">
        <v>10</v>
      </c>
      <c r="B36">
        <v>20</v>
      </c>
    </row>
    <row r="37" spans="1:2" x14ac:dyDescent="0.25">
      <c r="A37" t="s">
        <v>10</v>
      </c>
      <c r="B37">
        <v>20</v>
      </c>
    </row>
    <row r="38" spans="1:2" x14ac:dyDescent="0.25">
      <c r="A38" t="s">
        <v>10</v>
      </c>
      <c r="B38">
        <v>20</v>
      </c>
    </row>
    <row r="39" spans="1:2" x14ac:dyDescent="0.25">
      <c r="A39" t="s">
        <v>10</v>
      </c>
      <c r="B39">
        <v>20</v>
      </c>
    </row>
    <row r="40" spans="1:2" x14ac:dyDescent="0.25">
      <c r="A40" t="s">
        <v>341</v>
      </c>
      <c r="B40">
        <v>45</v>
      </c>
    </row>
    <row r="41" spans="1:2" x14ac:dyDescent="0.25">
      <c r="A41" t="s">
        <v>341</v>
      </c>
      <c r="B41">
        <v>45</v>
      </c>
    </row>
    <row r="42" spans="1:2" x14ac:dyDescent="0.25">
      <c r="A42" t="s">
        <v>341</v>
      </c>
      <c r="B42">
        <v>45</v>
      </c>
    </row>
    <row r="43" spans="1:2" x14ac:dyDescent="0.25">
      <c r="A43" t="s">
        <v>179</v>
      </c>
      <c r="B43">
        <v>30</v>
      </c>
    </row>
    <row r="44" spans="1:2" x14ac:dyDescent="0.25">
      <c r="A44" t="s">
        <v>179</v>
      </c>
      <c r="B44">
        <v>30</v>
      </c>
    </row>
    <row r="45" spans="1:2" x14ac:dyDescent="0.25">
      <c r="A45" t="s">
        <v>179</v>
      </c>
      <c r="B45">
        <v>35</v>
      </c>
    </row>
    <row r="46" spans="1:2" x14ac:dyDescent="0.25">
      <c r="A46" t="s">
        <v>179</v>
      </c>
      <c r="B46">
        <v>35</v>
      </c>
    </row>
    <row r="47" spans="1:2" x14ac:dyDescent="0.25">
      <c r="A47" t="s">
        <v>179</v>
      </c>
      <c r="B47">
        <v>40</v>
      </c>
    </row>
    <row r="48" spans="1:2" x14ac:dyDescent="0.25">
      <c r="A48" t="s">
        <v>179</v>
      </c>
      <c r="B48">
        <v>45</v>
      </c>
    </row>
    <row r="49" spans="1:2" x14ac:dyDescent="0.25">
      <c r="A49" t="s">
        <v>179</v>
      </c>
      <c r="B49">
        <v>45</v>
      </c>
    </row>
    <row r="50" spans="1:2" x14ac:dyDescent="0.25">
      <c r="A50" t="s">
        <v>179</v>
      </c>
      <c r="B50">
        <v>45</v>
      </c>
    </row>
    <row r="51" spans="1:2" x14ac:dyDescent="0.25">
      <c r="A51" t="s">
        <v>179</v>
      </c>
      <c r="B51">
        <v>70</v>
      </c>
    </row>
    <row r="52" spans="1:2" x14ac:dyDescent="0.25">
      <c r="A52" t="s">
        <v>24</v>
      </c>
      <c r="B52">
        <v>20</v>
      </c>
    </row>
    <row r="53" spans="1:2" x14ac:dyDescent="0.25">
      <c r="A53" t="s">
        <v>24</v>
      </c>
      <c r="B53">
        <v>20</v>
      </c>
    </row>
    <row r="54" spans="1:2" x14ac:dyDescent="0.25">
      <c r="A54" t="s">
        <v>24</v>
      </c>
      <c r="B54">
        <v>20</v>
      </c>
    </row>
    <row r="55" spans="1:2" x14ac:dyDescent="0.25">
      <c r="A55" t="s">
        <v>24</v>
      </c>
      <c r="B55">
        <v>20</v>
      </c>
    </row>
    <row r="56" spans="1:2" x14ac:dyDescent="0.25">
      <c r="A56" t="s">
        <v>39</v>
      </c>
      <c r="B56">
        <v>20</v>
      </c>
    </row>
    <row r="57" spans="1:2" x14ac:dyDescent="0.25">
      <c r="A57" t="s">
        <v>351</v>
      </c>
      <c r="B57">
        <v>45</v>
      </c>
    </row>
    <row r="58" spans="1:2" x14ac:dyDescent="0.25">
      <c r="A58" t="s">
        <v>351</v>
      </c>
      <c r="B58">
        <v>45</v>
      </c>
    </row>
    <row r="59" spans="1:2" x14ac:dyDescent="0.25">
      <c r="A59" t="s">
        <v>351</v>
      </c>
      <c r="B59">
        <v>45</v>
      </c>
    </row>
    <row r="60" spans="1:2" x14ac:dyDescent="0.25">
      <c r="A60" t="s">
        <v>351</v>
      </c>
      <c r="B60">
        <v>45</v>
      </c>
    </row>
    <row r="61" spans="1:2" x14ac:dyDescent="0.25">
      <c r="A61" t="s">
        <v>488</v>
      </c>
      <c r="B61">
        <v>250</v>
      </c>
    </row>
    <row r="62" spans="1:2" x14ac:dyDescent="0.25">
      <c r="A62" t="s">
        <v>85</v>
      </c>
      <c r="B62">
        <v>20</v>
      </c>
    </row>
    <row r="63" spans="1:2" x14ac:dyDescent="0.25">
      <c r="A63" t="s">
        <v>23</v>
      </c>
      <c r="B63">
        <v>20</v>
      </c>
    </row>
    <row r="64" spans="1:2" x14ac:dyDescent="0.25">
      <c r="A64" t="s">
        <v>23</v>
      </c>
      <c r="B64">
        <v>20</v>
      </c>
    </row>
    <row r="65" spans="1:2" x14ac:dyDescent="0.25">
      <c r="A65" t="s">
        <v>395</v>
      </c>
      <c r="B65">
        <v>45</v>
      </c>
    </row>
    <row r="66" spans="1:2" x14ac:dyDescent="0.25">
      <c r="A66" t="s">
        <v>289</v>
      </c>
      <c r="B66">
        <v>40</v>
      </c>
    </row>
    <row r="67" spans="1:2" x14ac:dyDescent="0.25">
      <c r="A67" t="s">
        <v>289</v>
      </c>
      <c r="B67">
        <v>40</v>
      </c>
    </row>
    <row r="68" spans="1:2" x14ac:dyDescent="0.25">
      <c r="A68" t="s">
        <v>471</v>
      </c>
      <c r="B68">
        <v>250</v>
      </c>
    </row>
    <row r="69" spans="1:2" x14ac:dyDescent="0.25">
      <c r="A69" t="s">
        <v>69</v>
      </c>
      <c r="B69">
        <v>20</v>
      </c>
    </row>
    <row r="70" spans="1:2" x14ac:dyDescent="0.25">
      <c r="A70" t="s">
        <v>69</v>
      </c>
      <c r="B70">
        <v>20</v>
      </c>
    </row>
    <row r="71" spans="1:2" x14ac:dyDescent="0.25">
      <c r="A71" t="s">
        <v>340</v>
      </c>
      <c r="B71">
        <v>45</v>
      </c>
    </row>
    <row r="72" spans="1:2" x14ac:dyDescent="0.25">
      <c r="A72" t="s">
        <v>340</v>
      </c>
      <c r="B72">
        <v>45</v>
      </c>
    </row>
    <row r="73" spans="1:2" x14ac:dyDescent="0.25">
      <c r="A73" t="s">
        <v>340</v>
      </c>
      <c r="B73">
        <v>45</v>
      </c>
    </row>
    <row r="74" spans="1:2" x14ac:dyDescent="0.25">
      <c r="A74" t="s">
        <v>152</v>
      </c>
      <c r="B74">
        <v>30</v>
      </c>
    </row>
    <row r="75" spans="1:2" x14ac:dyDescent="0.25">
      <c r="A75" t="s">
        <v>152</v>
      </c>
      <c r="B75">
        <v>40</v>
      </c>
    </row>
    <row r="76" spans="1:2" x14ac:dyDescent="0.25">
      <c r="A76" t="s">
        <v>152</v>
      </c>
      <c r="B76">
        <v>40</v>
      </c>
    </row>
    <row r="77" spans="1:2" x14ac:dyDescent="0.25">
      <c r="A77" t="s">
        <v>152</v>
      </c>
      <c r="B77">
        <v>45</v>
      </c>
    </row>
    <row r="78" spans="1:2" x14ac:dyDescent="0.25">
      <c r="A78" t="s">
        <v>77</v>
      </c>
      <c r="B78">
        <v>20</v>
      </c>
    </row>
    <row r="79" spans="1:2" x14ac:dyDescent="0.25">
      <c r="A79" t="s">
        <v>365</v>
      </c>
      <c r="B79">
        <v>45</v>
      </c>
    </row>
    <row r="80" spans="1:2" x14ac:dyDescent="0.25">
      <c r="A80" t="s">
        <v>365</v>
      </c>
      <c r="B80">
        <v>45</v>
      </c>
    </row>
    <row r="81" spans="1:2" x14ac:dyDescent="0.25">
      <c r="A81" t="s">
        <v>365</v>
      </c>
      <c r="B81">
        <v>45</v>
      </c>
    </row>
    <row r="82" spans="1:2" x14ac:dyDescent="0.25">
      <c r="A82" t="s">
        <v>365</v>
      </c>
      <c r="B82">
        <v>45</v>
      </c>
    </row>
    <row r="83" spans="1:2" x14ac:dyDescent="0.25">
      <c r="A83" t="s">
        <v>365</v>
      </c>
      <c r="B83">
        <v>45</v>
      </c>
    </row>
    <row r="84" spans="1:2" x14ac:dyDescent="0.25">
      <c r="A84" t="s">
        <v>365</v>
      </c>
      <c r="B84">
        <v>45</v>
      </c>
    </row>
    <row r="85" spans="1:2" x14ac:dyDescent="0.25">
      <c r="A85" t="s">
        <v>136</v>
      </c>
      <c r="B85">
        <v>30</v>
      </c>
    </row>
    <row r="86" spans="1:2" x14ac:dyDescent="0.25">
      <c r="A86" t="s">
        <v>136</v>
      </c>
      <c r="B86">
        <v>35</v>
      </c>
    </row>
    <row r="87" spans="1:2" x14ac:dyDescent="0.25">
      <c r="A87" t="s">
        <v>136</v>
      </c>
      <c r="B87">
        <v>40</v>
      </c>
    </row>
    <row r="88" spans="1:2" x14ac:dyDescent="0.25">
      <c r="A88" t="s">
        <v>136</v>
      </c>
      <c r="B88">
        <v>40</v>
      </c>
    </row>
    <row r="89" spans="1:2" x14ac:dyDescent="0.25">
      <c r="A89" t="s">
        <v>136</v>
      </c>
      <c r="B89">
        <v>40</v>
      </c>
    </row>
    <row r="90" spans="1:2" x14ac:dyDescent="0.25">
      <c r="A90" t="s">
        <v>136</v>
      </c>
      <c r="B90">
        <v>40</v>
      </c>
    </row>
    <row r="91" spans="1:2" x14ac:dyDescent="0.25">
      <c r="A91" t="s">
        <v>136</v>
      </c>
      <c r="B91">
        <v>45</v>
      </c>
    </row>
    <row r="92" spans="1:2" x14ac:dyDescent="0.25">
      <c r="A92" t="s">
        <v>136</v>
      </c>
      <c r="B92">
        <v>45</v>
      </c>
    </row>
    <row r="93" spans="1:2" x14ac:dyDescent="0.25">
      <c r="A93" t="s">
        <v>136</v>
      </c>
      <c r="B93">
        <v>350</v>
      </c>
    </row>
    <row r="94" spans="1:2" x14ac:dyDescent="0.25">
      <c r="A94" t="s">
        <v>40</v>
      </c>
      <c r="B94">
        <v>20</v>
      </c>
    </row>
    <row r="95" spans="1:2" x14ac:dyDescent="0.25">
      <c r="A95" t="s">
        <v>40</v>
      </c>
      <c r="B95">
        <v>20</v>
      </c>
    </row>
    <row r="96" spans="1:2" x14ac:dyDescent="0.25">
      <c r="A96" t="s">
        <v>40</v>
      </c>
      <c r="B96">
        <v>20</v>
      </c>
    </row>
    <row r="97" spans="1:2" x14ac:dyDescent="0.25">
      <c r="A97" t="s">
        <v>61</v>
      </c>
      <c r="B97">
        <v>20</v>
      </c>
    </row>
    <row r="98" spans="1:2" x14ac:dyDescent="0.25">
      <c r="A98" t="s">
        <v>61</v>
      </c>
      <c r="B98">
        <v>20</v>
      </c>
    </row>
    <row r="99" spans="1:2" x14ac:dyDescent="0.25">
      <c r="A99" t="s">
        <v>61</v>
      </c>
      <c r="B99">
        <v>20</v>
      </c>
    </row>
    <row r="100" spans="1:2" x14ac:dyDescent="0.25">
      <c r="A100" t="s">
        <v>61</v>
      </c>
      <c r="B100">
        <v>20</v>
      </c>
    </row>
    <row r="101" spans="1:2" x14ac:dyDescent="0.25">
      <c r="A101" t="s">
        <v>171</v>
      </c>
      <c r="B101">
        <v>30</v>
      </c>
    </row>
    <row r="102" spans="1:2" x14ac:dyDescent="0.25">
      <c r="A102" t="s">
        <v>171</v>
      </c>
      <c r="B102">
        <v>30</v>
      </c>
    </row>
    <row r="103" spans="1:2" x14ac:dyDescent="0.25">
      <c r="A103" t="s">
        <v>171</v>
      </c>
      <c r="B103">
        <v>40</v>
      </c>
    </row>
    <row r="104" spans="1:2" x14ac:dyDescent="0.25">
      <c r="A104" t="s">
        <v>171</v>
      </c>
      <c r="B104">
        <v>45</v>
      </c>
    </row>
    <row r="105" spans="1:2" x14ac:dyDescent="0.25">
      <c r="A105" t="s">
        <v>171</v>
      </c>
      <c r="B105">
        <v>45</v>
      </c>
    </row>
    <row r="106" spans="1:2" x14ac:dyDescent="0.25">
      <c r="A106" t="s">
        <v>171</v>
      </c>
      <c r="B106">
        <v>70</v>
      </c>
    </row>
    <row r="107" spans="1:2" x14ac:dyDescent="0.25">
      <c r="A107" t="s">
        <v>171</v>
      </c>
      <c r="B107">
        <v>125</v>
      </c>
    </row>
    <row r="108" spans="1:2" x14ac:dyDescent="0.25">
      <c r="A108" t="s">
        <v>11</v>
      </c>
      <c r="B108">
        <v>20</v>
      </c>
    </row>
    <row r="109" spans="1:2" x14ac:dyDescent="0.25">
      <c r="A109" t="s">
        <v>350</v>
      </c>
      <c r="B109">
        <v>45</v>
      </c>
    </row>
    <row r="110" spans="1:2" x14ac:dyDescent="0.25">
      <c r="A110" t="s">
        <v>350</v>
      </c>
      <c r="B110">
        <v>70</v>
      </c>
    </row>
    <row r="111" spans="1:2" x14ac:dyDescent="0.25">
      <c r="A111" t="s">
        <v>350</v>
      </c>
      <c r="B111">
        <v>70</v>
      </c>
    </row>
    <row r="112" spans="1:2" x14ac:dyDescent="0.25">
      <c r="A112" t="s">
        <v>33</v>
      </c>
      <c r="B112">
        <v>20</v>
      </c>
    </row>
  </sheetData>
  <sortState ref="A1:B112">
    <sortCondition ref="A1:A112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D37" sqref="D37"/>
    </sheetView>
  </sheetViews>
  <sheetFormatPr defaultRowHeight="15" x14ac:dyDescent="0.25"/>
  <cols>
    <col min="1" max="1" width="41.85546875" bestFit="1" customWidth="1"/>
  </cols>
  <sheetData>
    <row r="1" spans="1:6" x14ac:dyDescent="0.25">
      <c r="A1" t="s">
        <v>447</v>
      </c>
      <c r="B1">
        <v>70</v>
      </c>
      <c r="E1">
        <v>1</v>
      </c>
      <c r="F1">
        <v>4</v>
      </c>
    </row>
    <row r="2" spans="1:6" x14ac:dyDescent="0.25">
      <c r="A2" t="s">
        <v>447</v>
      </c>
      <c r="B2">
        <v>70</v>
      </c>
      <c r="E2">
        <v>2</v>
      </c>
      <c r="F2">
        <v>10</v>
      </c>
    </row>
    <row r="3" spans="1:6" x14ac:dyDescent="0.25">
      <c r="A3" t="s">
        <v>447</v>
      </c>
      <c r="B3">
        <v>70</v>
      </c>
      <c r="E3">
        <v>3</v>
      </c>
      <c r="F3">
        <v>5</v>
      </c>
    </row>
    <row r="4" spans="1:6" x14ac:dyDescent="0.25">
      <c r="A4" t="s">
        <v>447</v>
      </c>
      <c r="B4">
        <v>250</v>
      </c>
      <c r="E4">
        <v>4</v>
      </c>
      <c r="F4">
        <v>0</v>
      </c>
    </row>
    <row r="5" spans="1:6" x14ac:dyDescent="0.25">
      <c r="A5" t="s">
        <v>489</v>
      </c>
      <c r="B5">
        <v>250</v>
      </c>
      <c r="E5">
        <v>5</v>
      </c>
      <c r="F5">
        <v>0</v>
      </c>
    </row>
    <row r="6" spans="1:6" x14ac:dyDescent="0.25">
      <c r="A6" t="s">
        <v>137</v>
      </c>
      <c r="B6">
        <v>30</v>
      </c>
      <c r="E6">
        <v>6</v>
      </c>
      <c r="F6">
        <v>2</v>
      </c>
    </row>
    <row r="7" spans="1:6" x14ac:dyDescent="0.25">
      <c r="A7" t="s">
        <v>137</v>
      </c>
      <c r="B7">
        <v>30</v>
      </c>
      <c r="E7">
        <v>7</v>
      </c>
      <c r="F7">
        <v>11</v>
      </c>
    </row>
    <row r="8" spans="1:6" x14ac:dyDescent="0.25">
      <c r="A8" t="s">
        <v>137</v>
      </c>
      <c r="B8">
        <v>30</v>
      </c>
      <c r="E8">
        <v>8</v>
      </c>
      <c r="F8">
        <v>3</v>
      </c>
    </row>
    <row r="9" spans="1:6" x14ac:dyDescent="0.25">
      <c r="A9" t="s">
        <v>137</v>
      </c>
      <c r="B9">
        <v>70</v>
      </c>
      <c r="E9">
        <v>9</v>
      </c>
      <c r="F9">
        <v>1</v>
      </c>
    </row>
    <row r="10" spans="1:6" x14ac:dyDescent="0.25">
      <c r="A10" t="s">
        <v>137</v>
      </c>
      <c r="B10">
        <v>70</v>
      </c>
      <c r="E10">
        <v>10</v>
      </c>
      <c r="F10">
        <v>1</v>
      </c>
    </row>
    <row r="11" spans="1:6" x14ac:dyDescent="0.25">
      <c r="A11" t="s">
        <v>137</v>
      </c>
      <c r="B11">
        <v>70</v>
      </c>
      <c r="F11">
        <f>SUM(F1:F10)</f>
        <v>37</v>
      </c>
    </row>
    <row r="12" spans="1:6" x14ac:dyDescent="0.25">
      <c r="A12" t="s">
        <v>137</v>
      </c>
      <c r="B12">
        <v>70</v>
      </c>
      <c r="F12" t="s">
        <v>568</v>
      </c>
    </row>
    <row r="13" spans="1:6" x14ac:dyDescent="0.25">
      <c r="A13" t="s">
        <v>137</v>
      </c>
      <c r="B13">
        <v>70</v>
      </c>
    </row>
    <row r="14" spans="1:6" x14ac:dyDescent="0.25">
      <c r="A14" t="s">
        <v>137</v>
      </c>
      <c r="B14">
        <v>70</v>
      </c>
    </row>
    <row r="15" spans="1:6" x14ac:dyDescent="0.25">
      <c r="A15" t="s">
        <v>137</v>
      </c>
      <c r="B15">
        <v>250</v>
      </c>
    </row>
    <row r="16" spans="1:6" x14ac:dyDescent="0.25">
      <c r="A16" t="s">
        <v>145</v>
      </c>
      <c r="B16">
        <v>30</v>
      </c>
    </row>
    <row r="17" spans="1:2" x14ac:dyDescent="0.25">
      <c r="A17" t="s">
        <v>145</v>
      </c>
      <c r="B17">
        <v>30</v>
      </c>
    </row>
    <row r="18" spans="1:2" x14ac:dyDescent="0.25">
      <c r="A18" t="s">
        <v>145</v>
      </c>
      <c r="B18">
        <v>70</v>
      </c>
    </row>
    <row r="19" spans="1:2" x14ac:dyDescent="0.25">
      <c r="A19" t="s">
        <v>145</v>
      </c>
      <c r="B19">
        <v>70</v>
      </c>
    </row>
    <row r="20" spans="1:2" x14ac:dyDescent="0.25">
      <c r="A20" t="s">
        <v>145</v>
      </c>
      <c r="B20">
        <v>250</v>
      </c>
    </row>
    <row r="21" spans="1:2" x14ac:dyDescent="0.25">
      <c r="A21" t="s">
        <v>462</v>
      </c>
      <c r="B21">
        <v>70</v>
      </c>
    </row>
    <row r="22" spans="1:2" x14ac:dyDescent="0.25">
      <c r="A22" t="s">
        <v>462</v>
      </c>
      <c r="B22">
        <v>250</v>
      </c>
    </row>
    <row r="23" spans="1:2" x14ac:dyDescent="0.25">
      <c r="A23" t="s">
        <v>159</v>
      </c>
      <c r="B23">
        <v>30</v>
      </c>
    </row>
    <row r="24" spans="1:2" x14ac:dyDescent="0.25">
      <c r="A24" t="s">
        <v>159</v>
      </c>
      <c r="B24">
        <v>30</v>
      </c>
    </row>
    <row r="25" spans="1:2" x14ac:dyDescent="0.25">
      <c r="A25" t="s">
        <v>159</v>
      </c>
      <c r="B25">
        <v>30</v>
      </c>
    </row>
    <row r="26" spans="1:2" x14ac:dyDescent="0.25">
      <c r="A26" t="s">
        <v>159</v>
      </c>
      <c r="B26">
        <v>30</v>
      </c>
    </row>
    <row r="27" spans="1:2" x14ac:dyDescent="0.25">
      <c r="A27" t="s">
        <v>159</v>
      </c>
      <c r="B27">
        <v>30</v>
      </c>
    </row>
    <row r="28" spans="1:2" x14ac:dyDescent="0.25">
      <c r="A28" t="s">
        <v>159</v>
      </c>
      <c r="B28">
        <v>70</v>
      </c>
    </row>
    <row r="29" spans="1:2" x14ac:dyDescent="0.25">
      <c r="A29" t="s">
        <v>159</v>
      </c>
      <c r="B29">
        <v>70</v>
      </c>
    </row>
    <row r="30" spans="1:2" x14ac:dyDescent="0.25">
      <c r="A30" t="s">
        <v>159</v>
      </c>
      <c r="B30">
        <v>70</v>
      </c>
    </row>
    <row r="31" spans="1:2" x14ac:dyDescent="0.25">
      <c r="A31" t="s">
        <v>159</v>
      </c>
      <c r="B31">
        <v>70</v>
      </c>
    </row>
    <row r="32" spans="1:2" x14ac:dyDescent="0.25">
      <c r="A32" t="s">
        <v>159</v>
      </c>
      <c r="B32">
        <v>70</v>
      </c>
    </row>
    <row r="33" spans="1:2" x14ac:dyDescent="0.25">
      <c r="A33" t="s">
        <v>159</v>
      </c>
      <c r="B33">
        <v>70</v>
      </c>
    </row>
    <row r="34" spans="1:2" x14ac:dyDescent="0.25">
      <c r="A34" t="s">
        <v>430</v>
      </c>
      <c r="B34">
        <v>70</v>
      </c>
    </row>
    <row r="35" spans="1:2" x14ac:dyDescent="0.25">
      <c r="A35" t="s">
        <v>430</v>
      </c>
      <c r="B35">
        <v>70</v>
      </c>
    </row>
    <row r="36" spans="1:2" x14ac:dyDescent="0.25">
      <c r="A36" t="s">
        <v>430</v>
      </c>
      <c r="B36">
        <v>70</v>
      </c>
    </row>
    <row r="37" spans="1:2" x14ac:dyDescent="0.25">
      <c r="A37" t="s">
        <v>472</v>
      </c>
      <c r="B37">
        <v>250</v>
      </c>
    </row>
  </sheetData>
  <sortState ref="A1:B36">
    <sortCondition ref="A1:A36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G6" sqref="G6"/>
    </sheetView>
  </sheetViews>
  <sheetFormatPr defaultRowHeight="15" x14ac:dyDescent="0.25"/>
  <cols>
    <col min="1" max="1" width="41.85546875" bestFit="1" customWidth="1"/>
  </cols>
  <sheetData>
    <row r="1" spans="1:7" x14ac:dyDescent="0.25">
      <c r="A1" t="s">
        <v>258</v>
      </c>
      <c r="B1">
        <v>40</v>
      </c>
      <c r="F1">
        <v>1</v>
      </c>
      <c r="G1">
        <v>0</v>
      </c>
    </row>
    <row r="2" spans="1:7" x14ac:dyDescent="0.25">
      <c r="A2" t="s">
        <v>258</v>
      </c>
      <c r="B2">
        <v>40</v>
      </c>
      <c r="F2">
        <v>2</v>
      </c>
      <c r="G2">
        <v>8</v>
      </c>
    </row>
    <row r="3" spans="1:7" x14ac:dyDescent="0.25">
      <c r="A3" t="s">
        <v>258</v>
      </c>
      <c r="B3">
        <v>40</v>
      </c>
      <c r="F3">
        <v>3</v>
      </c>
      <c r="G3">
        <v>2</v>
      </c>
    </row>
    <row r="4" spans="1:7" x14ac:dyDescent="0.25">
      <c r="A4" t="s">
        <v>258</v>
      </c>
      <c r="B4">
        <v>40</v>
      </c>
      <c r="F4">
        <v>4</v>
      </c>
      <c r="G4">
        <v>0</v>
      </c>
    </row>
    <row r="5" spans="1:7" x14ac:dyDescent="0.25">
      <c r="A5" t="s">
        <v>258</v>
      </c>
      <c r="B5">
        <v>40</v>
      </c>
      <c r="F5">
        <v>5</v>
      </c>
      <c r="G5">
        <v>0</v>
      </c>
    </row>
    <row r="6" spans="1:7" x14ac:dyDescent="0.25">
      <c r="A6" t="s">
        <v>258</v>
      </c>
      <c r="B6">
        <v>40</v>
      </c>
      <c r="F6">
        <v>6</v>
      </c>
      <c r="G6">
        <v>2</v>
      </c>
    </row>
    <row r="7" spans="1:7" x14ac:dyDescent="0.25">
      <c r="A7" t="s">
        <v>258</v>
      </c>
      <c r="B7">
        <v>40</v>
      </c>
      <c r="F7">
        <v>7</v>
      </c>
      <c r="G7">
        <v>5</v>
      </c>
    </row>
    <row r="8" spans="1:7" x14ac:dyDescent="0.25">
      <c r="A8" t="s">
        <v>258</v>
      </c>
      <c r="B8">
        <v>350</v>
      </c>
      <c r="F8">
        <v>8</v>
      </c>
      <c r="G8">
        <v>1</v>
      </c>
    </row>
    <row r="9" spans="1:7" x14ac:dyDescent="0.25">
      <c r="A9" t="s">
        <v>329</v>
      </c>
      <c r="B9">
        <v>40</v>
      </c>
      <c r="F9">
        <v>9</v>
      </c>
      <c r="G9">
        <v>0</v>
      </c>
    </row>
    <row r="10" spans="1:7" x14ac:dyDescent="0.25">
      <c r="A10" t="s">
        <v>329</v>
      </c>
      <c r="B10">
        <v>350</v>
      </c>
      <c r="F10">
        <v>10</v>
      </c>
      <c r="G10">
        <v>0</v>
      </c>
    </row>
    <row r="11" spans="1:7" x14ac:dyDescent="0.25">
      <c r="A11" t="s">
        <v>266</v>
      </c>
      <c r="B11">
        <v>40</v>
      </c>
      <c r="G11">
        <f>SUM(G1:G10)</f>
        <v>18</v>
      </c>
    </row>
    <row r="12" spans="1:7" x14ac:dyDescent="0.25">
      <c r="A12" t="s">
        <v>266</v>
      </c>
      <c r="B12">
        <v>40</v>
      </c>
      <c r="G12" t="s">
        <v>567</v>
      </c>
    </row>
    <row r="13" spans="1:7" x14ac:dyDescent="0.25">
      <c r="A13" t="s">
        <v>272</v>
      </c>
      <c r="B13">
        <v>40</v>
      </c>
    </row>
    <row r="14" spans="1:7" x14ac:dyDescent="0.25">
      <c r="A14" t="s">
        <v>272</v>
      </c>
      <c r="B14">
        <v>40</v>
      </c>
    </row>
    <row r="15" spans="1:7" x14ac:dyDescent="0.25">
      <c r="A15" t="s">
        <v>272</v>
      </c>
      <c r="B15">
        <v>40</v>
      </c>
    </row>
    <row r="16" spans="1:7" x14ac:dyDescent="0.25">
      <c r="A16" t="s">
        <v>272</v>
      </c>
      <c r="B16">
        <v>40</v>
      </c>
    </row>
    <row r="17" spans="1:2" x14ac:dyDescent="0.25">
      <c r="A17" t="s">
        <v>272</v>
      </c>
      <c r="B17">
        <v>40</v>
      </c>
    </row>
    <row r="18" spans="1:2" x14ac:dyDescent="0.25">
      <c r="A18" t="s">
        <v>505</v>
      </c>
      <c r="B18">
        <v>350</v>
      </c>
    </row>
  </sheetData>
  <sortState ref="A1:B18">
    <sortCondition ref="A1:A1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F1" sqref="F1:F12"/>
    </sheetView>
  </sheetViews>
  <sheetFormatPr defaultRowHeight="15" x14ac:dyDescent="0.25"/>
  <cols>
    <col min="1" max="1" width="47.28515625" bestFit="1" customWidth="1"/>
  </cols>
  <sheetData>
    <row r="1" spans="1:6" x14ac:dyDescent="0.25">
      <c r="A1" t="s">
        <v>403</v>
      </c>
      <c r="B1">
        <v>125</v>
      </c>
      <c r="E1">
        <v>1</v>
      </c>
      <c r="F1">
        <v>0</v>
      </c>
    </row>
    <row r="2" spans="1:6" x14ac:dyDescent="0.25">
      <c r="A2" t="s">
        <v>403</v>
      </c>
      <c r="B2">
        <v>125</v>
      </c>
      <c r="E2">
        <v>2</v>
      </c>
      <c r="F2">
        <v>0</v>
      </c>
    </row>
    <row r="3" spans="1:6" x14ac:dyDescent="0.25">
      <c r="E3">
        <v>3</v>
      </c>
      <c r="F3">
        <v>0</v>
      </c>
    </row>
    <row r="4" spans="1:6" x14ac:dyDescent="0.25">
      <c r="E4">
        <v>4</v>
      </c>
      <c r="F4">
        <v>0</v>
      </c>
    </row>
    <row r="5" spans="1:6" x14ac:dyDescent="0.25">
      <c r="E5">
        <v>5</v>
      </c>
      <c r="F5">
        <v>0</v>
      </c>
    </row>
    <row r="6" spans="1:6" x14ac:dyDescent="0.25">
      <c r="E6">
        <v>6</v>
      </c>
      <c r="F6">
        <v>0</v>
      </c>
    </row>
    <row r="7" spans="1:6" x14ac:dyDescent="0.25">
      <c r="E7">
        <v>7</v>
      </c>
      <c r="F7">
        <v>3</v>
      </c>
    </row>
    <row r="8" spans="1:6" x14ac:dyDescent="0.25">
      <c r="E8">
        <v>8</v>
      </c>
      <c r="F8">
        <v>0</v>
      </c>
    </row>
    <row r="9" spans="1:6" x14ac:dyDescent="0.25">
      <c r="E9">
        <v>9</v>
      </c>
      <c r="F9">
        <v>0</v>
      </c>
    </row>
    <row r="10" spans="1:6" x14ac:dyDescent="0.25">
      <c r="E10">
        <v>10</v>
      </c>
      <c r="F10">
        <v>0</v>
      </c>
    </row>
    <row r="11" spans="1:6" x14ac:dyDescent="0.25">
      <c r="F11">
        <f>SUM(F1:F10)</f>
        <v>3</v>
      </c>
    </row>
    <row r="12" spans="1:6" x14ac:dyDescent="0.25">
      <c r="F12" t="s">
        <v>570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H7" sqref="H7"/>
    </sheetView>
  </sheetViews>
  <sheetFormatPr defaultRowHeight="15" x14ac:dyDescent="0.25"/>
  <sheetData>
    <row r="1" spans="1:9" x14ac:dyDescent="0.25">
      <c r="A1">
        <v>1</v>
      </c>
      <c r="B1">
        <v>13</v>
      </c>
      <c r="C1">
        <v>4</v>
      </c>
      <c r="D1">
        <v>0</v>
      </c>
      <c r="E1">
        <v>0</v>
      </c>
      <c r="F1">
        <f>SUM(B1:E1)</f>
        <v>17</v>
      </c>
      <c r="G1" s="3">
        <f>F1/$F$11</f>
        <v>0.10119047619047619</v>
      </c>
      <c r="I1" t="s">
        <v>576</v>
      </c>
    </row>
    <row r="2" spans="1:9" x14ac:dyDescent="0.25">
      <c r="A2">
        <v>2</v>
      </c>
      <c r="B2">
        <v>25</v>
      </c>
      <c r="C2">
        <v>10</v>
      </c>
      <c r="D2">
        <v>8</v>
      </c>
      <c r="E2">
        <v>0</v>
      </c>
      <c r="F2">
        <f t="shared" ref="F2:F11" si="0">SUM(B2:E2)</f>
        <v>43</v>
      </c>
      <c r="G2" s="3">
        <f t="shared" ref="G2:G10" si="1">F2/$F$11</f>
        <v>0.25595238095238093</v>
      </c>
      <c r="H2" t="s">
        <v>575</v>
      </c>
      <c r="I2" t="s">
        <v>576</v>
      </c>
    </row>
    <row r="3" spans="1:9" x14ac:dyDescent="0.25">
      <c r="A3">
        <v>3</v>
      </c>
      <c r="B3">
        <v>18</v>
      </c>
      <c r="C3">
        <v>5</v>
      </c>
      <c r="D3">
        <v>2</v>
      </c>
      <c r="E3">
        <v>0</v>
      </c>
      <c r="F3">
        <f t="shared" si="0"/>
        <v>25</v>
      </c>
      <c r="G3" s="3">
        <f t="shared" si="1"/>
        <v>0.14880952380952381</v>
      </c>
      <c r="I3" t="s">
        <v>576</v>
      </c>
    </row>
    <row r="4" spans="1:9" x14ac:dyDescent="0.25">
      <c r="A4">
        <v>4</v>
      </c>
      <c r="B4">
        <v>8</v>
      </c>
      <c r="C4">
        <v>0</v>
      </c>
      <c r="D4">
        <v>0</v>
      </c>
      <c r="E4">
        <v>0</v>
      </c>
      <c r="F4">
        <f t="shared" si="0"/>
        <v>8</v>
      </c>
      <c r="G4" s="3">
        <f t="shared" si="1"/>
        <v>4.7619047619047616E-2</v>
      </c>
    </row>
    <row r="5" spans="1:9" x14ac:dyDescent="0.25">
      <c r="A5">
        <v>5</v>
      </c>
      <c r="B5">
        <v>6</v>
      </c>
      <c r="C5">
        <v>0</v>
      </c>
      <c r="D5">
        <v>0</v>
      </c>
      <c r="E5">
        <v>0</v>
      </c>
      <c r="F5">
        <f t="shared" si="0"/>
        <v>6</v>
      </c>
      <c r="G5" s="3">
        <f t="shared" si="1"/>
        <v>3.5714285714285712E-2</v>
      </c>
    </row>
    <row r="6" spans="1:9" x14ac:dyDescent="0.25">
      <c r="A6">
        <v>6</v>
      </c>
      <c r="B6">
        <v>8</v>
      </c>
      <c r="C6">
        <v>2</v>
      </c>
      <c r="D6">
        <v>2</v>
      </c>
      <c r="E6">
        <v>0</v>
      </c>
      <c r="F6">
        <f t="shared" si="0"/>
        <v>12</v>
      </c>
      <c r="G6" s="3">
        <f t="shared" si="1"/>
        <v>7.1428571428571425E-2</v>
      </c>
      <c r="I6" t="s">
        <v>576</v>
      </c>
    </row>
    <row r="7" spans="1:9" x14ac:dyDescent="0.25">
      <c r="A7">
        <v>7</v>
      </c>
      <c r="B7">
        <v>21</v>
      </c>
      <c r="C7">
        <v>10</v>
      </c>
      <c r="D7">
        <v>5</v>
      </c>
      <c r="E7">
        <v>3</v>
      </c>
      <c r="F7">
        <f t="shared" si="0"/>
        <v>39</v>
      </c>
      <c r="G7" s="3">
        <f t="shared" si="1"/>
        <v>0.23214285714285715</v>
      </c>
      <c r="H7" t="s">
        <v>575</v>
      </c>
    </row>
    <row r="8" spans="1:9" x14ac:dyDescent="0.25">
      <c r="A8">
        <v>8</v>
      </c>
      <c r="B8">
        <v>6</v>
      </c>
      <c r="C8">
        <v>3</v>
      </c>
      <c r="D8">
        <v>1</v>
      </c>
      <c r="E8">
        <v>0</v>
      </c>
      <c r="F8">
        <f t="shared" si="0"/>
        <v>10</v>
      </c>
      <c r="G8" s="3">
        <f t="shared" si="1"/>
        <v>5.9523809523809521E-2</v>
      </c>
    </row>
    <row r="9" spans="1:9" x14ac:dyDescent="0.25">
      <c r="A9">
        <v>9</v>
      </c>
      <c r="B9">
        <v>5</v>
      </c>
      <c r="C9">
        <v>1</v>
      </c>
      <c r="D9">
        <v>0</v>
      </c>
      <c r="E9">
        <v>0</v>
      </c>
      <c r="F9">
        <f t="shared" si="0"/>
        <v>6</v>
      </c>
      <c r="G9" s="3">
        <f t="shared" si="1"/>
        <v>3.5714285714285712E-2</v>
      </c>
      <c r="I9" t="s">
        <v>576</v>
      </c>
    </row>
    <row r="10" spans="1:9" x14ac:dyDescent="0.25">
      <c r="A10">
        <v>10</v>
      </c>
      <c r="B10">
        <v>1</v>
      </c>
      <c r="C10">
        <v>1</v>
      </c>
      <c r="D10">
        <v>0</v>
      </c>
      <c r="E10">
        <v>0</v>
      </c>
      <c r="F10">
        <f t="shared" si="0"/>
        <v>2</v>
      </c>
      <c r="G10" s="3">
        <f t="shared" si="1"/>
        <v>1.1904761904761904E-2</v>
      </c>
    </row>
    <row r="11" spans="1:9" x14ac:dyDescent="0.25">
      <c r="B11">
        <f>SUM(B1:B10)</f>
        <v>111</v>
      </c>
      <c r="C11">
        <f>SUM(C1:C10)</f>
        <v>36</v>
      </c>
      <c r="D11">
        <f>SUM(D1:D10)</f>
        <v>18</v>
      </c>
      <c r="E11">
        <f>SUM(E1:E10)</f>
        <v>3</v>
      </c>
      <c r="F11">
        <f t="shared" si="0"/>
        <v>168</v>
      </c>
      <c r="G11" s="3">
        <f>SUM(G1:G10)</f>
        <v>0.99999999999999989</v>
      </c>
    </row>
    <row r="12" spans="1:9" x14ac:dyDescent="0.25">
      <c r="B12" t="s">
        <v>569</v>
      </c>
      <c r="C12" t="s">
        <v>568</v>
      </c>
      <c r="D12" t="s">
        <v>567</v>
      </c>
      <c r="E12" t="s">
        <v>570</v>
      </c>
      <c r="F12" t="s">
        <v>571</v>
      </c>
    </row>
    <row r="13" spans="1:9" x14ac:dyDescent="0.25">
      <c r="F13">
        <f>SUM(F1:F10)</f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 Prints</vt:lpstr>
      <vt:lpstr>30 Prints</vt:lpstr>
      <vt:lpstr>35 Manual</vt:lpstr>
      <vt:lpstr>40 Prints</vt:lpstr>
      <vt:lpstr>45 Prints</vt:lpstr>
      <vt:lpstr>70 Prints</vt:lpstr>
      <vt:lpstr>125 Canvas</vt:lpstr>
      <vt:lpstr>250 Photo</vt:lpstr>
      <vt:lpstr>325 Photo</vt:lpstr>
      <vt:lpstr>350 Video</vt:lpstr>
      <vt:lpstr>No Reward</vt:lpstr>
      <vt:lpstr>8x10 Prints</vt:lpstr>
      <vt:lpstr>11x14 Prints</vt:lpstr>
      <vt:lpstr>12x18 Prints</vt:lpstr>
      <vt:lpstr>Canvas Wraps</vt:lpstr>
      <vt:lpstr>Stickers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2014-04-16T21:22:57Z</dcterms:created>
  <dcterms:modified xsi:type="dcterms:W3CDTF">2014-04-30T13:16:52Z</dcterms:modified>
</cp:coreProperties>
</file>